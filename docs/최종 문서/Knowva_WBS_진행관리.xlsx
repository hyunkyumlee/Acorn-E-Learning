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d3c796ab934be5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WBS_진행관리" sheetId="1" ns1:id="Rc1bc6032918f463f"/>
    <sheet name="설정" sheetId="2" ns1:id="R901af0ad10c2439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2">
    <numFmt numFmtId="200" formatCode="yyyy-mm-dd"/>
    <numFmt numFmtId="201" formatCode="0%"/>
  </numFmts>
  <fonts count="8">
    <font>
      <sz val="11"/>
      <name val="Carlito"/>
    </font>
    <font>
      <b/>
      <sz val="11"/>
      <color rgb="FF111827"/>
      <name val="Carlito"/>
    </font>
    <font>
      <b/>
      <sz val="11"/>
      <color rgb="FF111827"/>
      <name val="맑은 고딕"/>
    </font>
    <font>
      <sz val="11"/>
      <name val="맑은 고딕"/>
    </font>
    <font>
      <b/>
      <sz val="10"/>
      <color rgb="FF111827"/>
      <name val="맑은 고딕"/>
    </font>
    <font>
      <b/>
      <sz val="12"/>
      <color rgb="FF111827"/>
      <name val="맑은 고딕"/>
    </font>
    <font>
      <b/>
      <sz val="14"/>
      <color rgb="FFFFFFFF"/>
      <name val="Carlito"/>
    </font>
    <font>
      <b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475569"/>
        <bgColor indexed="64"/>
      </patternFill>
    </fill>
  </fills>
  <borders count="3">
    <border/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24">
    <xf numFmtId="0" fontId="0" fillId="0" borderId="0" xfId="0"/>
    <xf numFmtId="0" fontId="0" borderId="0" xfId="0" applyNumberFormat="1" applyFont="1" applyFill="0" applyBorder="1"/>
    <xf numFmtId="0" fontId="1" borderId="0" xfId="0" applyNumberFormat="1" applyFont="1" applyFill="0" applyBorder="1"/>
    <xf numFmtId="0" fontId="1" borderId="0" xfId="0" applyNumberFormat="1" applyFont="1" applyFill="0" applyBorder="1" applyAlignment="1">
      <alignment horizontal="center"/>
    </xf>
    <xf numFmtId="0" fontId="1" borderId="1" xfId="0" applyNumberFormat="1" applyFont="1" applyFill="0" applyBorder="1" applyAlignment="1">
      <alignment horizontal="center"/>
    </xf>
    <xf numFmtId="0" fontId="0" borderId="1" xfId="0" applyNumberFormat="1" applyFont="1" applyFill="0" applyBorder="1"/>
    <xf numFmtId="0" fontId="0" borderId="1" xfId="0" applyNumberFormat="1" applyFont="1" applyFill="0" applyBorder="1" applyAlignment="1">
      <alignment horizontal="center"/>
    </xf>
    <xf numFmtId="200" fontId="0" borderId="1" xfId="0" applyNumberFormat="1" applyFont="1" applyFill="0" applyBorder="1"/>
    <xf numFmtId="201" fontId="0" borderId="1" xfId="0" applyNumberFormat="1" applyFont="1" applyFill="0" applyBorder="1"/>
    <xf numFmtId="201" fontId="0" borderId="1" xfId="0" applyNumberFormat="1" applyFont="1" applyFill="0" applyBorder="1" applyAlignment="1">
      <alignment horizontal="center"/>
    </xf>
    <xf numFmtId="0" fontId="0" borderId="1" xfId="0" applyNumberFormat="1" applyFont="1" applyFill="0" applyBorder="1" applyAlignment="1">
      <alignment wrapText="1"/>
    </xf>
    <xf numFmtId="0" fontId="2" borderId="1" xfId="0" applyNumberFormat="1" applyFont="1" applyFill="0" applyBorder="1" applyAlignment="1">
      <alignment horizontal="center"/>
    </xf>
    <xf numFmtId="0" fontId="3" borderId="1" xfId="0" applyNumberFormat="1" applyFont="1" applyFill="1" applyBorder="1" applyAlignment="1" fillId="2">
      <alignment horizontal="center"/>
    </xf>
    <xf numFmtId="0" fontId="3" borderId="1" xfId="0" applyNumberFormat="1" applyFont="1" applyFill="1" applyBorder="1" applyAlignment="1" fillId="2">
      <alignment wrapText="1"/>
    </xf>
    <xf numFmtId="200" fontId="3" borderId="1" xfId="0" applyNumberFormat="1" applyFont="1" applyFill="1" applyBorder="1" fillId="2"/>
    <xf numFmtId="201" fontId="3" borderId="1" xfId="0" applyNumberFormat="1" applyFont="1" applyFill="1" applyBorder="1" applyAlignment="1" fillId="2">
      <alignment horizontal="center"/>
    </xf>
    <xf numFmtId="0" fontId="3" borderId="1" xfId="0" applyNumberFormat="1" applyFont="1" applyFill="1" applyBorder="1" fillId="2"/>
    <xf numFmtId="0" fontId="4" borderId="1" xfId="0" applyNumberFormat="1" applyFont="1" applyFill="1" applyBorder="1" applyAlignment="1" fillId="3">
      <alignment horizontal="center"/>
    </xf>
    <xf numFmtId="0" fontId="5" borderId="1" xfId="0" applyNumberFormat="1" applyFont="1" applyFill="1" applyBorder="1" applyAlignment="1" fillId="2">
      <alignment horizontal="center"/>
    </xf>
    <xf numFmtId="0" fontId="6" borderId="0" xfId="0" applyNumberFormat="1" applyFont="1" applyFill="1" applyBorder="1" fillId="4"/>
    <xf numFmtId="0" fontId="7" borderId="0" xfId="0" applyNumberFormat="1" applyFont="1" applyFill="1" applyBorder="1" fillId="5"/>
    <xf numFmtId="0" fontId="7" borderId="2" xfId="0" applyNumberFormat="1" applyFont="1" applyFill="1" applyBorder="1" fillId="5"/>
    <xf numFmtId="0" fontId="0" fillId="2" borderId="2" xfId="0" applyNumberFormat="1" applyFont="1" applyFill="1" applyBorder="1"/>
    <xf numFmtId="200" fontId="0" fillId="2" borderId="2" xfId="0" applyNumberFormat="1" applyFont="1" applyFill="1" applyBorder="1"/>
  </cellXfs>
  <cellStyles count="1">
    <cellStyle name="Normal" xfId="0"/>
  </cellStyles>
  <dxfs count="8">
    <dxf>
      <font>
        <b/>
        <color rgb="FF111827"/>
      </font>
      <fill>
        <patternFill patternType="solid">
          <fgColor rgb="FFC6EFCE"/>
          <bgColor rgb="FFC6EFCE"/>
        </patternFill>
      </fill>
    </dxf>
    <dxf>
      <font>
        <b/>
        <color rgb="FF111827"/>
      </font>
      <fill>
        <patternFill patternType="solid">
          <fgColor rgb="FFFFEB9C"/>
          <bgColor rgb="FFFFEB9C"/>
        </patternFill>
      </fill>
    </dxf>
    <dxf>
      <font>
        <b/>
        <color rgb="FF111827"/>
      </font>
      <fill>
        <patternFill patternType="solid">
          <fgColor rgb="FFFFC7CE"/>
          <bgColor rgb="FFFFC7CE"/>
        </patternFill>
      </fill>
    </dxf>
    <dxf>
      <font>
        <b/>
        <color rgb="FF111827"/>
      </font>
      <fill>
        <patternFill patternType="solid">
          <fgColor rgb="FFC6EFCE"/>
          <bgColor rgb="FFC6EFCE"/>
        </patternFill>
      </fill>
    </dxf>
    <dxf>
      <font>
        <b/>
        <color rgb="FF111827"/>
      </font>
      <fill>
        <patternFill patternType="solid">
          <fgColor rgb="FFBDD7EE"/>
          <bgColor rgb="FFBDD7EE"/>
        </patternFill>
      </fill>
    </dxf>
    <dxf>
      <font>
        <b/>
        <color rgb="FF111827"/>
      </font>
      <fill>
        <patternFill patternType="solid">
          <fgColor rgb="FFE5E7EB"/>
          <bgColor rgb="FFE5E7EB"/>
        </patternFill>
      </fill>
    </dxf>
    <dxf>
      <font>
        <b/>
        <color rgb="FF111827"/>
      </font>
      <fill>
        <patternFill patternType="solid">
          <fgColor rgb="FFFFEB9C"/>
          <bgColor rgb="FFFFEB9C"/>
        </patternFill>
      </fill>
    </dxf>
    <dxf>
      <font>
        <b/>
        <color rgb="FF111827"/>
      </font>
      <fill>
        <patternFill patternType="solid">
          <fgColor rgb="FFFFC7CE"/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dfe17c92cc4e86" /><Relationship Type="http://schemas.openxmlformats.org/officeDocument/2006/relationships/theme" Target="/xl/theme/theme1.xml" Id="R4eb074e8bdb34f4c" /><Relationship Type="http://schemas.openxmlformats.org/officeDocument/2006/relationships/sharedStrings" Target="/xl/sharedStrings.xml" Id="R1eb9ecc9e9bc4423" /><Relationship Type="http://schemas.openxmlformats.org/officeDocument/2006/relationships/worksheet" Target="/xl/worksheets/sheet1.xml" Id="Rc1bc6032918f463f" /><Relationship Type="http://schemas.openxmlformats.org/officeDocument/2006/relationships/worksheet" Target="/xl/worksheets/sheet2.xml" Id="R901af0ad10c243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1" hidden="0" customWidth="1"/>
    <col min="2" max="2" width="9" hidden="0" customWidth="1"/>
    <col min="3" max="3" width="22" hidden="0" customWidth="1"/>
    <col min="4" max="4" width="12" hidden="0" customWidth="1"/>
    <col min="5" max="5" width="44" hidden="0" customWidth="1"/>
    <col min="6" max="6" width="44" hidden="0" customWidth="1"/>
    <col min="7" max="7" width="12" hidden="0" customWidth="1"/>
    <col min="8" max="8" width="12" hidden="0" customWidth="1"/>
    <col min="9" max="9" width="10" hidden="0" customWidth="1"/>
    <col min="10" max="10" width="10" hidden="0" customWidth="1"/>
    <col min="11" max="11" width="10" hidden="0" customWidth="1"/>
    <col min="12" max="12" width="10" hidden="0" customWidth="1"/>
    <col min="13" max="13" width="10" hidden="0" customWidth="1"/>
    <col min="14" max="14" width="11" hidden="0" customWidth="1"/>
    <col min="15" max="15" width="10" hidden="0" customWidth="1"/>
    <col min="16" max="16" width="10" hidden="0" customWidth="1"/>
    <col min="17" max="17" width="10" hidden="0" customWidth="1"/>
    <col min="18" max="18" width="10" hidden="0" customWidth="1"/>
    <col min="19" max="19" width="10" hidden="0" customWidth="1"/>
    <col min="20" max="20" width="10" hidden="0" customWidth="1"/>
    <col min="21" max="21" width="10" hidden="0" customWidth="1"/>
    <col min="22" max="22" width="10" hidden="0" customWidth="1"/>
    <col min="23" max="23" width="10" hidden="0" customWidth="1"/>
  </cols>
  <sheetData>
    <row r="1" ht="24" customHeight="1">
      <c r="A1" s="17" t="str">
        <v>WBS ID</v>
      </c>
      <c r="B1" s="17" t="str">
        <v>번호</v>
      </c>
      <c r="C1" s="17" t="str">
        <v>분담 범위</v>
      </c>
      <c r="D1" s="17" t="str">
        <v>담당자</v>
      </c>
      <c r="E1" s="17" t="str">
        <v>작업</v>
      </c>
      <c r="F1" s="17" t="str">
        <v>완료 기준</v>
      </c>
      <c r="G1" s="17" t="str">
        <v>시작일</v>
      </c>
      <c r="H1" s="17" t="str">
        <v>종료일</v>
      </c>
      <c r="I1" s="17" t="str">
        <v>계획(%)</v>
      </c>
      <c r="J1" s="17" t="str">
        <v>실적(%)</v>
      </c>
      <c r="K1" s="17" t="str">
        <v>진행률(%)</v>
      </c>
      <c r="L1" s="17" t="str">
        <v>완료여부</v>
      </c>
      <c r="M1" s="17" t="str">
        <v>진행상태</v>
      </c>
      <c r="N1" s="17" t="str">
        <v>비고</v>
      </c>
      <c r="O1" s="17" t="str">
        <v>6월 2주</v>
      </c>
      <c r="P1" s="17" t="str">
        <v>6월 3주</v>
      </c>
      <c r="Q1" s="17" t="str">
        <v>6월 4주</v>
      </c>
      <c r="R1" s="17" t="str">
        <v>6월 5주</v>
      </c>
      <c r="S1" s="17" t="str">
        <v>7월 1주</v>
      </c>
      <c r="T1" s="17" t="str">
        <v>7월 2주</v>
      </c>
      <c r="U1" s="17" t="str">
        <v>7월 3주</v>
      </c>
      <c r="V1" s="17" t="str">
        <v>7월 4주</v>
      </c>
      <c r="W1" s="17" t="str">
        <v>7월 5주</v>
      </c>
    </row>
    <row r="2" ht="36" customHeight="1">
      <c r="A2" s="12" t="str">
        <v>WBS-001</v>
      </c>
      <c r="B2" s="12" t="str">
        <v>공통</v>
      </c>
      <c r="C2" s="12" t="str">
        <v>공통 기반 / 구현 기준</v>
      </c>
      <c r="D2" s="12" t="str">
        <v>이현겸</v>
      </c>
      <c r="E2" s="13" t="str">
        <v>공통 response, error, validation, idempotency, config 기준 확인</v>
      </c>
      <c r="F2" s="13" t="str">
        <v>각 담당자가 같은 공통 기준으로 Controller/Service/Mapper 구현</v>
      </c>
      <c r="G2" s="14" t="n">
        <v>46197</v>
      </c>
      <c r="H2" s="14" t="n">
        <v>46203</v>
      </c>
      <c r="I2" s="15" t="n">
        <v>0.9</v>
      </c>
      <c r="J2" s="15" t="n">
        <v>0.75</v>
      </c>
      <c r="K2" s="15" t="n">
        <f>IF(LEN($J2&amp;"")=0,"",$J2)</f>
        <v>0.75</v>
      </c>
      <c r="L2" s="12" t="str">
        <f>IF(LEN($K2&amp;"")=0,"",IF($K2&gt;=1,"완료",IF($K2&gt;0,"진행","준비")))</f>
        <v>진행</v>
      </c>
      <c r="M2" s="12" t="str">
        <f>IF(OR(LEN($I2&amp;"")=0,LEN($J2&amp;"")=0),"",IF($J2&gt;=1,"정상",IF($J2&gt;=$I2,"정상",IF($I2-$J2&gt;0.1,"지연","주의"))))</f>
        <v>지연</v>
      </c>
      <c r="N2" s="16" t="str">
        <v>공통</v>
      </c>
      <c r="O2" s="18" t="str">
        <f>IF(OR($G2&gt;'설정'!$D$3,$H2&lt;'설정'!$C$3),"",IF($L2="완료","완료",IF($M2="지연","지연",IF($M2="주의","주의",IF($J2&gt;0,"진행","계획")))))</f>
      </c>
      <c r="P2" s="18" t="str">
        <f>IF(OR($G2&gt;'설정'!$D$4,$H2&lt;'설정'!$C$4),"",IF($L2="완료","완료",IF($M2="지연","지연",IF($M2="주의","주의",IF($J2&gt;0,"진행","계획")))))</f>
      </c>
      <c r="Q2" s="18" t="str">
        <f>IF(OR($G2&gt;'설정'!$D$5,$H2&lt;'설정'!$C$5),"",IF($L2="완료","완료",IF($M2="지연","지연",IF($M2="주의","주의",IF($J2&gt;0,"진행","계획")))))</f>
      </c>
      <c r="R2" s="18" t="str">
        <f>IF(OR($G2&gt;'설정'!$D$6,$H2&lt;'설정'!$C$6),"",IF($L2="완료","완료",IF($M2="지연","지연",IF($M2="주의","주의",IF($J2&gt;0,"진행","계획")))))</f>
        <v>지연</v>
      </c>
      <c r="S2" s="18" t="str">
        <f>IF(OR($G2&gt;'설정'!$D$7,$H2&lt;'설정'!$C$7),"",IF($L2="완료","완료",IF($M2="지연","지연",IF($M2="주의","주의",IF($J2&gt;0,"진행","계획")))))</f>
        <v>지연</v>
      </c>
      <c r="T2" s="18" t="str">
        <f>IF(OR($G2&gt;'설정'!$D$8,$H2&lt;'설정'!$C$8),"",IF($L2="완료","완료",IF($M2="지연","지연",IF($M2="주의","주의",IF($J2&gt;0,"진행","계획")))))</f>
      </c>
      <c r="U2" s="18" t="str">
        <f>IF(OR($G2&gt;'설정'!$D$9,$H2&lt;'설정'!$C$9),"",IF($L2="완료","완료",IF($M2="지연","지연",IF($M2="주의","주의",IF($J2&gt;0,"진행","계획")))))</f>
      </c>
      <c r="V2" s="18" t="str">
        <f>IF(OR($G2&gt;'설정'!$D$10,$H2&lt;'설정'!$C$10),"",IF($L2="완료","완료",IF($M2="지연","지연",IF($M2="주의","주의",IF($J2&gt;0,"진행","계획")))))</f>
      </c>
      <c r="W2" s="18" t="str">
        <f>IF(OR($G2&gt;'설정'!$D$11,$H2&lt;'설정'!$C$11),"",IF($L2="완료","완료",IF($M2="지연","지연",IF($M2="주의","주의",IF($J2&gt;0,"진행","계획")))))</f>
      </c>
    </row>
    <row r="3" ht="36" customHeight="1">
      <c r="A3" s="12" t="str">
        <v>WBS-002</v>
      </c>
      <c r="B3" s="12" t="str">
        <v>공통</v>
      </c>
      <c r="C3" s="12" t="str">
        <v>문서 총괄</v>
      </c>
      <c r="D3" s="12" t="str">
        <v>이현겸</v>
      </c>
      <c r="E3" s="13" t="str">
        <v>최종 Word 기획서, Notion 기획서, SRS, 매핑표 정책 문구 정합성 확인</v>
      </c>
      <c r="F3" s="13" t="str">
        <v>공통 로그인, ChatGPT API, 테스트케이스 실행 채점 기준 일치</v>
      </c>
      <c r="G3" s="14" t="n">
        <v>46197</v>
      </c>
      <c r="H3" s="14" t="n">
        <v>46203</v>
      </c>
      <c r="I3" s="15" t="n">
        <v>0.9</v>
      </c>
      <c r="J3" s="15" t="n">
        <v>0.8</v>
      </c>
      <c r="K3" s="15" t="n">
        <f>IF(LEN($J3&amp;"")=0,"",$J3)</f>
        <v>0.8</v>
      </c>
      <c r="L3" s="12" t="str">
        <f>IF(LEN($K3&amp;"")=0,"",IF($K3&gt;=1,"완료",IF($K3&gt;0,"진행","준비")))</f>
        <v>진행</v>
      </c>
      <c r="M3" s="12" t="str">
        <f>IF(OR(LEN($I3&amp;"")=0,LEN($J3&amp;"")=0),"",IF($J3&gt;=1,"정상",IF($J3&gt;=$I3,"정상",IF($I3-$J3&gt;0.1,"지연","주의"))))</f>
        <v>주의</v>
      </c>
      <c r="N3" s="16" t="str">
        <v>공통</v>
      </c>
      <c r="O3" s="18" t="str">
        <f>IF(OR($G3&gt;'설정'!$D$3,$H3&lt;'설정'!$C$3),"",IF($L3="완료","완료",IF($M3="지연","지연",IF($M3="주의","주의",IF($J3&gt;0,"진행","계획")))))</f>
      </c>
      <c r="P3" s="18" t="str">
        <f>IF(OR($G3&gt;'설정'!$D$4,$H3&lt;'설정'!$C$4),"",IF($L3="완료","완료",IF($M3="지연","지연",IF($M3="주의","주의",IF($J3&gt;0,"진행","계획")))))</f>
      </c>
      <c r="Q3" s="18" t="str">
        <f>IF(OR($G3&gt;'설정'!$D$5,$H3&lt;'설정'!$C$5),"",IF($L3="완료","완료",IF($M3="지연","지연",IF($M3="주의","주의",IF($J3&gt;0,"진행","계획")))))</f>
      </c>
      <c r="R3" s="18" t="str">
        <f>IF(OR($G3&gt;'설정'!$D$6,$H3&lt;'설정'!$C$6),"",IF($L3="완료","완료",IF($M3="지연","지연",IF($M3="주의","주의",IF($J3&gt;0,"진행","계획")))))</f>
        <v>주의</v>
      </c>
      <c r="S3" s="18" t="str">
        <f>IF(OR($G3&gt;'설정'!$D$7,$H3&lt;'설정'!$C$7),"",IF($L3="완료","완료",IF($M3="지연","지연",IF($M3="주의","주의",IF($J3&gt;0,"진행","계획")))))</f>
        <v>주의</v>
      </c>
      <c r="T3" s="18" t="str">
        <f>IF(OR($G3&gt;'설정'!$D$8,$H3&lt;'설정'!$C$8),"",IF($L3="완료","완료",IF($M3="지연","지연",IF($M3="주의","주의",IF($J3&gt;0,"진행","계획")))))</f>
      </c>
      <c r="U3" s="18" t="str">
        <f>IF(OR($G3&gt;'설정'!$D$9,$H3&lt;'설정'!$C$9),"",IF($L3="완료","완료",IF($M3="지연","지연",IF($M3="주의","주의",IF($J3&gt;0,"진행","계획")))))</f>
      </c>
      <c r="V3" s="18" t="str">
        <f>IF(OR($G3&gt;'설정'!$D$10,$H3&lt;'설정'!$C$10),"",IF($L3="완료","완료",IF($M3="지연","지연",IF($M3="주의","주의",IF($J3&gt;0,"진행","계획")))))</f>
      </c>
      <c r="W3" s="18" t="str">
        <f>IF(OR($G3&gt;'설정'!$D$11,$H3&lt;'설정'!$C$11),"",IF($L3="완료","완료",IF($M3="지연","지연",IF($M3="주의","주의",IF($J3&gt;0,"진행","계획")))))</f>
      </c>
    </row>
    <row r="4" ht="36" customHeight="1">
      <c r="A4" s="12" t="str">
        <v>WBS-003</v>
      </c>
      <c r="B4" s="12" t="str">
        <v>공통</v>
      </c>
      <c r="C4" s="12" t="str">
        <v>제출 파일 관리</v>
      </c>
      <c r="D4" s="12" t="str">
        <v>이현겸</v>
      </c>
      <c r="E4" s="13" t="str">
        <v>docs/최종 문서 파일 구성과 commit 포함 여부 정리</v>
      </c>
      <c r="F4" s="13" t="str">
        <v>제출 파일 목록과 repo 반영 여부 팀 공유</v>
      </c>
      <c r="G4" s="14" t="n">
        <v>46200</v>
      </c>
      <c r="H4" s="14" t="n">
        <v>46203</v>
      </c>
      <c r="I4" s="15" t="n">
        <v>0.5</v>
      </c>
      <c r="J4" s="15" t="n">
        <v>0.2</v>
      </c>
      <c r="K4" s="15" t="n">
        <f>IF(LEN($J4&amp;"")=0,"",$J4)</f>
        <v>0.2</v>
      </c>
      <c r="L4" s="12" t="str">
        <f>IF(LEN($K4&amp;"")=0,"",IF($K4&gt;=1,"완료",IF($K4&gt;0,"진행","준비")))</f>
        <v>진행</v>
      </c>
      <c r="M4" s="12" t="str">
        <f>IF(OR(LEN($I4&amp;"")=0,LEN($J4&amp;"")=0),"",IF($J4&gt;=1,"정상",IF($J4&gt;=$I4,"정상",IF($I4-$J4&gt;0.1,"지연","주의"))))</f>
        <v>지연</v>
      </c>
      <c r="N4" s="16" t="str">
        <v>공통</v>
      </c>
      <c r="O4" s="18" t="str">
        <f>IF(OR($G4&gt;'설정'!$D$3,$H4&lt;'설정'!$C$3),"",IF($L4="완료","완료",IF($M4="지연","지연",IF($M4="주의","주의",IF($J4&gt;0,"진행","계획")))))</f>
      </c>
      <c r="P4" s="18" t="str">
        <f>IF(OR($G4&gt;'설정'!$D$4,$H4&lt;'설정'!$C$4),"",IF($L4="완료","완료",IF($M4="지연","지연",IF($M4="주의","주의",IF($J4&gt;0,"진행","계획")))))</f>
      </c>
      <c r="Q4" s="18" t="str">
        <f>IF(OR($G4&gt;'설정'!$D$5,$H4&lt;'설정'!$C$5),"",IF($L4="완료","완료",IF($M4="지연","지연",IF($M4="주의","주의",IF($J4&gt;0,"진행","계획")))))</f>
      </c>
      <c r="R4" s="18" t="str">
        <f>IF(OR($G4&gt;'설정'!$D$6,$H4&lt;'설정'!$C$6),"",IF($L4="완료","완료",IF($M4="지연","지연",IF($M4="주의","주의",IF($J4&gt;0,"진행","계획")))))</f>
        <v>지연</v>
      </c>
      <c r="S4" s="18" t="str">
        <f>IF(OR($G4&gt;'설정'!$D$7,$H4&lt;'설정'!$C$7),"",IF($L4="완료","완료",IF($M4="지연","지연",IF($M4="주의","주의",IF($J4&gt;0,"진행","계획")))))</f>
        <v>지연</v>
      </c>
      <c r="T4" s="18" t="str">
        <f>IF(OR($G4&gt;'설정'!$D$8,$H4&lt;'설정'!$C$8),"",IF($L4="완료","완료",IF($M4="지연","지연",IF($M4="주의","주의",IF($J4&gt;0,"진행","계획")))))</f>
      </c>
      <c r="U4" s="18" t="str">
        <f>IF(OR($G4&gt;'설정'!$D$9,$H4&lt;'설정'!$C$9),"",IF($L4="완료","완료",IF($M4="지연","지연",IF($M4="주의","주의",IF($J4&gt;0,"진행","계획")))))</f>
      </c>
      <c r="V4" s="18" t="str">
        <f>IF(OR($G4&gt;'설정'!$D$10,$H4&lt;'설정'!$C$10),"",IF($L4="완료","완료",IF($M4="지연","지연",IF($M4="주의","주의",IF($J4&gt;0,"진행","계획")))))</f>
      </c>
      <c r="W4" s="18" t="str">
        <f>IF(OR($G4&gt;'설정'!$D$11,$H4&lt;'설정'!$C$11),"",IF($L4="완료","완료",IF($M4="지연","지연",IF($M4="주의","주의",IF($J4&gt;0,"진행","계획")))))</f>
      </c>
    </row>
    <row r="5" ht="36" customHeight="1">
      <c r="A5" s="12" t="str">
        <v>WBS-004</v>
      </c>
      <c r="B5" s="12" t="str">
        <v>1번</v>
      </c>
      <c r="C5" s="12" t="str">
        <v>Auth / Security</v>
      </c>
      <c r="D5" s="12" t="str">
        <v>이정하</v>
      </c>
      <c r="E5" s="13" t="str">
        <v>회원가입, 공통 로그인, 로그아웃, session 저장/조회 흐름 구현</v>
      </c>
      <c r="F5" s="13" t="str">
        <v>로그인/로그아웃과 session user 사용 가능</v>
      </c>
      <c r="G5" s="14" t="n">
        <v>46200</v>
      </c>
      <c r="H5" s="14" t="n">
        <v>46208</v>
      </c>
      <c r="I5" s="15" t="n">
        <v>0.2</v>
      </c>
      <c r="J5" s="15" t="n">
        <v>0</v>
      </c>
      <c r="K5" s="15" t="n">
        <f>IF(LEN($J5&amp;"")=0,"",$J5)</f>
        <v>0</v>
      </c>
      <c r="L5" s="12" t="str">
        <f>IF(LEN($K5&amp;"")=0,"",IF($K5&gt;=1,"완료",IF($K5&gt;0,"진행","준비")))</f>
        <v>준비</v>
      </c>
      <c r="M5" s="12" t="str">
        <f>IF(OR(LEN($I5&amp;"")=0,LEN($J5&amp;"")=0),"",IF($J5&gt;=1,"정상",IF($J5&gt;=$I5,"정상",IF($I5-$J5&gt;0.1,"지연","주의"))))</f>
        <v>지연</v>
      </c>
      <c r="N5" s="16" t="str">
        <v>인증</v>
      </c>
      <c r="O5" s="18" t="str">
        <f>IF(OR($G5&gt;'설정'!$D$3,$H5&lt;'설정'!$C$3),"",IF($L5="완료","완료",IF($M5="지연","지연",IF($M5="주의","주의",IF($J5&gt;0,"진행","계획")))))</f>
      </c>
      <c r="P5" s="18" t="str">
        <f>IF(OR($G5&gt;'설정'!$D$4,$H5&lt;'설정'!$C$4),"",IF($L5="완료","완료",IF($M5="지연","지연",IF($M5="주의","주의",IF($J5&gt;0,"진행","계획")))))</f>
      </c>
      <c r="Q5" s="18" t="str">
        <f>IF(OR($G5&gt;'설정'!$D$5,$H5&lt;'설정'!$C$5),"",IF($L5="완료","완료",IF($M5="지연","지연",IF($M5="주의","주의",IF($J5&gt;0,"진행","계획")))))</f>
      </c>
      <c r="R5" s="18" t="str">
        <f>IF(OR($G5&gt;'설정'!$D$6,$H5&lt;'설정'!$C$6),"",IF($L5="완료","완료",IF($M5="지연","지연",IF($M5="주의","주의",IF($J5&gt;0,"진행","계획")))))</f>
        <v>지연</v>
      </c>
      <c r="S5" s="18" t="str">
        <f>IF(OR($G5&gt;'설정'!$D$7,$H5&lt;'설정'!$C$7),"",IF($L5="완료","완료",IF($M5="지연","지연",IF($M5="주의","주의",IF($J5&gt;0,"진행","계획")))))</f>
        <v>지연</v>
      </c>
      <c r="T5" s="18" t="str">
        <f>IF(OR($G5&gt;'설정'!$D$8,$H5&lt;'설정'!$C$8),"",IF($L5="완료","완료",IF($M5="지연","지연",IF($M5="주의","주의",IF($J5&gt;0,"진행","계획")))))</f>
        <v>지연</v>
      </c>
      <c r="U5" s="18" t="str">
        <f>IF(OR($G5&gt;'설정'!$D$9,$H5&lt;'설정'!$C$9),"",IF($L5="완료","완료",IF($M5="지연","지연",IF($M5="주의","주의",IF($J5&gt;0,"진행","계획")))))</f>
      </c>
      <c r="V5" s="18" t="str">
        <f>IF(OR($G5&gt;'설정'!$D$10,$H5&lt;'설정'!$C$10),"",IF($L5="완료","완료",IF($M5="지연","지연",IF($M5="주의","주의",IF($J5&gt;0,"진행","계획")))))</f>
      </c>
      <c r="W5" s="18" t="str">
        <f>IF(OR($G5&gt;'설정'!$D$11,$H5&lt;'설정'!$C$11),"",IF($L5="완료","완료",IF($M5="지연","지연",IF($M5="주의","주의",IF($J5&gt;0,"진행","계획")))))</f>
      </c>
    </row>
    <row r="6" ht="36" customHeight="1">
      <c r="A6" s="12" t="str">
        <v>WBS-005</v>
      </c>
      <c r="B6" s="12" t="str">
        <v>1번</v>
      </c>
      <c r="C6" s="12" t="str">
        <v>Role redirect</v>
      </c>
      <c r="D6" s="12" t="str">
        <v>이정하</v>
      </c>
      <c r="E6" s="13" t="str">
        <v>ROLE_USER는 /learning, ROLE_ADMIN은 /admin 이동 구현</v>
      </c>
      <c r="F6" s="13" t="str">
        <v>관리자 별도 로그인 없이 공통 로그인에서 role별 이동</v>
      </c>
      <c r="G6" s="14" t="n">
        <v>46200</v>
      </c>
      <c r="H6" s="14" t="n">
        <v>46208</v>
      </c>
      <c r="I6" s="15" t="n">
        <v>0.2</v>
      </c>
      <c r="J6" s="15" t="n">
        <v>0.1</v>
      </c>
      <c r="K6" s="15" t="n">
        <f>IF(LEN($J6&amp;"")=0,"",$J6)</f>
        <v>0.1</v>
      </c>
      <c r="L6" s="12" t="str">
        <f>IF(LEN($K6&amp;"")=0,"",IF($K6&gt;=1,"완료",IF($K6&gt;0,"진행","준비")))</f>
        <v>진행</v>
      </c>
      <c r="M6" s="12" t="str">
        <f>IF(OR(LEN($I6&amp;"")=0,LEN($J6&amp;"")=0),"",IF($J6&gt;=1,"정상",IF($J6&gt;=$I6,"정상",IF($I6-$J6&gt;0.1,"지연","주의"))))</f>
        <v>주의</v>
      </c>
      <c r="N6" s="16" t="str">
        <v>인증</v>
      </c>
      <c r="O6" s="18" t="str">
        <f>IF(OR($G6&gt;'설정'!$D$3,$H6&lt;'설정'!$C$3),"",IF($L6="완료","완료",IF($M6="지연","지연",IF($M6="주의","주의",IF($J6&gt;0,"진행","계획")))))</f>
      </c>
      <c r="P6" s="18" t="str">
        <f>IF(OR($G6&gt;'설정'!$D$4,$H6&lt;'설정'!$C$4),"",IF($L6="완료","완료",IF($M6="지연","지연",IF($M6="주의","주의",IF($J6&gt;0,"진행","계획")))))</f>
      </c>
      <c r="Q6" s="18" t="str">
        <f>IF(OR($G6&gt;'설정'!$D$5,$H6&lt;'설정'!$C$5),"",IF($L6="완료","완료",IF($M6="지연","지연",IF($M6="주의","주의",IF($J6&gt;0,"진행","계획")))))</f>
      </c>
      <c r="R6" s="18" t="str">
        <f>IF(OR($G6&gt;'설정'!$D$6,$H6&lt;'설정'!$C$6),"",IF($L6="완료","완료",IF($M6="지연","지연",IF($M6="주의","주의",IF($J6&gt;0,"진행","계획")))))</f>
        <v>주의</v>
      </c>
      <c r="S6" s="18" t="str">
        <f>IF(OR($G6&gt;'설정'!$D$7,$H6&lt;'설정'!$C$7),"",IF($L6="완료","완료",IF($M6="지연","지연",IF($M6="주의","주의",IF($J6&gt;0,"진행","계획")))))</f>
        <v>주의</v>
      </c>
      <c r="T6" s="18" t="str">
        <f>IF(OR($G6&gt;'설정'!$D$8,$H6&lt;'설정'!$C$8),"",IF($L6="완료","완료",IF($M6="지연","지연",IF($M6="주의","주의",IF($J6&gt;0,"진행","계획")))))</f>
        <v>주의</v>
      </c>
      <c r="U6" s="18" t="str">
        <f>IF(OR($G6&gt;'설정'!$D$9,$H6&lt;'설정'!$C$9),"",IF($L6="완료","완료",IF($M6="지연","지연",IF($M6="주의","주의",IF($J6&gt;0,"진행","계획")))))</f>
      </c>
      <c r="V6" s="18" t="str">
        <f>IF(OR($G6&gt;'설정'!$D$10,$H6&lt;'설정'!$C$10),"",IF($L6="완료","완료",IF($M6="지연","지연",IF($M6="주의","주의",IF($J6&gt;0,"진행","계획")))))</f>
      </c>
      <c r="W6" s="18" t="str">
        <f>IF(OR($G6&gt;'설정'!$D$11,$H6&lt;'설정'!$C$11),"",IF($L6="완료","완료",IF($M6="지연","지연",IF($M6="주의","주의",IF($J6&gt;0,"진행","계획")))))</f>
      </c>
    </row>
    <row r="7" ht="36" customHeight="1">
      <c r="A7" s="12" t="str">
        <v>WBS-006</v>
      </c>
      <c r="B7" s="12" t="str">
        <v>1번</v>
      </c>
      <c r="C7" s="12" t="str">
        <v>Auth guard</v>
      </c>
      <c r="D7" s="12" t="str">
        <v>이정하</v>
      </c>
      <c r="E7" s="13" t="str">
        <v>LoginRequiredInterceptor, AdminRequiredInterceptor, owner guard 연결</v>
      </c>
      <c r="F7" s="13" t="str">
        <v>비로그인/일반 사용자/관리자 접근 경계 동작</v>
      </c>
      <c r="G7" s="14" t="n">
        <v>46202</v>
      </c>
      <c r="H7" s="14" t="n">
        <v>46210</v>
      </c>
      <c r="I7" s="15" t="n">
        <v>0.1</v>
      </c>
      <c r="J7" s="15" t="n">
        <v>0</v>
      </c>
      <c r="K7" s="15" t="n">
        <f>IF(LEN($J7&amp;"")=0,"",$J7)</f>
        <v>0</v>
      </c>
      <c r="L7" s="12" t="str">
        <f>IF(LEN($K7&amp;"")=0,"",IF($K7&gt;=1,"완료",IF($K7&gt;0,"진행","준비")))</f>
        <v>준비</v>
      </c>
      <c r="M7" s="12" t="str">
        <f>IF(OR(LEN($I7&amp;"")=0,LEN($J7&amp;"")=0),"",IF($J7&gt;=1,"정상",IF($J7&gt;=$I7,"정상",IF($I7-$J7&gt;0.1,"지연","주의"))))</f>
        <v>주의</v>
      </c>
      <c r="N7" s="16" t="str">
        <v>인증</v>
      </c>
      <c r="O7" s="18" t="str">
        <f>IF(OR($G7&gt;'설정'!$D$3,$H7&lt;'설정'!$C$3),"",IF($L7="완료","완료",IF($M7="지연","지연",IF($M7="주의","주의",IF($J7&gt;0,"진행","계획")))))</f>
      </c>
      <c r="P7" s="18" t="str">
        <f>IF(OR($G7&gt;'설정'!$D$4,$H7&lt;'설정'!$C$4),"",IF($L7="완료","완료",IF($M7="지연","지연",IF($M7="주의","주의",IF($J7&gt;0,"진행","계획")))))</f>
      </c>
      <c r="Q7" s="18" t="str">
        <f>IF(OR($G7&gt;'설정'!$D$5,$H7&lt;'설정'!$C$5),"",IF($L7="완료","완료",IF($M7="지연","지연",IF($M7="주의","주의",IF($J7&gt;0,"진행","계획")))))</f>
      </c>
      <c r="R7" s="18" t="str">
        <f>IF(OR($G7&gt;'설정'!$D$6,$H7&lt;'설정'!$C$6),"",IF($L7="완료","완료",IF($M7="지연","지연",IF($M7="주의","주의",IF($J7&gt;0,"진행","계획")))))</f>
      </c>
      <c r="S7" s="18" t="str">
        <f>IF(OR($G7&gt;'설정'!$D$7,$H7&lt;'설정'!$C$7),"",IF($L7="완료","완료",IF($M7="지연","지연",IF($M7="주의","주의",IF($J7&gt;0,"진행","계획")))))</f>
        <v>주의</v>
      </c>
      <c r="T7" s="18" t="str">
        <f>IF(OR($G7&gt;'설정'!$D$8,$H7&lt;'설정'!$C$8),"",IF($L7="완료","완료",IF($M7="지연","지연",IF($M7="주의","주의",IF($J7&gt;0,"진행","계획")))))</f>
        <v>주의</v>
      </c>
      <c r="U7" s="18" t="str">
        <f>IF(OR($G7&gt;'설정'!$D$9,$H7&lt;'설정'!$C$9),"",IF($L7="완료","완료",IF($M7="지연","지연",IF($M7="주의","주의",IF($J7&gt;0,"진행","계획")))))</f>
        <v>주의</v>
      </c>
      <c r="V7" s="18" t="str">
        <f>IF(OR($G7&gt;'설정'!$D$10,$H7&lt;'설정'!$C$10),"",IF($L7="완료","완료",IF($M7="지연","지연",IF($M7="주의","주의",IF($J7&gt;0,"진행","계획")))))</f>
      </c>
      <c r="W7" s="18" t="str">
        <f>IF(OR($G7&gt;'설정'!$D$11,$H7&lt;'설정'!$C$11),"",IF($L7="완료","완료",IF($M7="지연","지연",IF($M7="주의","주의",IF($J7&gt;0,"진행","계획")))))</f>
      </c>
    </row>
    <row r="8" ht="36" customHeight="1">
      <c r="A8" s="12" t="str">
        <v>WBS-007</v>
      </c>
      <c r="B8" s="12" t="str">
        <v>2번</v>
      </c>
      <c r="C8" s="12" t="str">
        <v>학습 / 커리큘럼</v>
      </c>
      <c r="D8" s="12" t="str">
        <v>조아진</v>
      </c>
      <c r="E8" s="13" t="str">
        <v>학습 메인, roadmap, lesson, progress, bookmark 조회/저장 구현</v>
      </c>
      <c r="F8" s="13" t="str">
        <v>SR-003 학습 화면에 학습 상태와 진행률 표시</v>
      </c>
      <c r="G8" s="14" t="n">
        <v>46200</v>
      </c>
      <c r="H8" s="14" t="n">
        <v>46213</v>
      </c>
      <c r="I8" s="15" t="n">
        <v>0.15</v>
      </c>
      <c r="J8" s="15" t="n">
        <v>0</v>
      </c>
      <c r="K8" s="15" t="n">
        <f>IF(LEN($J8&amp;"")=0,"",$J8)</f>
        <v>0</v>
      </c>
      <c r="L8" s="12" t="str">
        <f>IF(LEN($K8&amp;"")=0,"",IF($K8&gt;=1,"완료",IF($K8&gt;0,"진행","준비")))</f>
        <v>준비</v>
      </c>
      <c r="M8" s="12" t="str">
        <f>IF(OR(LEN($I8&amp;"")=0,LEN($J8&amp;"")=0),"",IF($J8&gt;=1,"정상",IF($J8&gt;=$I8,"정상",IF($I8-$J8&gt;0.1,"지연","주의"))))</f>
        <v>지연</v>
      </c>
      <c r="N8" s="16" t="str">
        <v>학습</v>
      </c>
      <c r="O8" s="18" t="str">
        <f>IF(OR($G8&gt;'설정'!$D$3,$H8&lt;'설정'!$C$3),"",IF($L8="완료","완료",IF($M8="지연","지연",IF($M8="주의","주의",IF($J8&gt;0,"진행","계획")))))</f>
      </c>
      <c r="P8" s="18" t="str">
        <f>IF(OR($G8&gt;'설정'!$D$4,$H8&lt;'설정'!$C$4),"",IF($L8="완료","완료",IF($M8="지연","지연",IF($M8="주의","주의",IF($J8&gt;0,"진행","계획")))))</f>
      </c>
      <c r="Q8" s="18" t="str">
        <f>IF(OR($G8&gt;'설정'!$D$5,$H8&lt;'설정'!$C$5),"",IF($L8="완료","완료",IF($M8="지연","지연",IF($M8="주의","주의",IF($J8&gt;0,"진행","계획")))))</f>
      </c>
      <c r="R8" s="18" t="str">
        <f>IF(OR($G8&gt;'설정'!$D$6,$H8&lt;'설정'!$C$6),"",IF($L8="완료","완료",IF($M8="지연","지연",IF($M8="주의","주의",IF($J8&gt;0,"진행","계획")))))</f>
        <v>지연</v>
      </c>
      <c r="S8" s="18" t="str">
        <f>IF(OR($G8&gt;'설정'!$D$7,$H8&lt;'설정'!$C$7),"",IF($L8="완료","완료",IF($M8="지연","지연",IF($M8="주의","주의",IF($J8&gt;0,"진행","계획")))))</f>
        <v>지연</v>
      </c>
      <c r="T8" s="18" t="str">
        <f>IF(OR($G8&gt;'설정'!$D$8,$H8&lt;'설정'!$C$8),"",IF($L8="완료","완료",IF($M8="지연","지연",IF($M8="주의","주의",IF($J8&gt;0,"진행","계획")))))</f>
        <v>지연</v>
      </c>
      <c r="U8" s="18" t="str">
        <f>IF(OR($G8&gt;'설정'!$D$9,$H8&lt;'설정'!$C$9),"",IF($L8="완료","완료",IF($M8="지연","지연",IF($M8="주의","주의",IF($J8&gt;0,"진행","계획")))))</f>
        <v>지연</v>
      </c>
      <c r="V8" s="18" t="str">
        <f>IF(OR($G8&gt;'설정'!$D$10,$H8&lt;'설정'!$C$10),"",IF($L8="완료","완료",IF($M8="지연","지연",IF($M8="주의","주의",IF($J8&gt;0,"진행","계획")))))</f>
      </c>
      <c r="W8" s="18" t="str">
        <f>IF(OR($G8&gt;'설정'!$D$11,$H8&lt;'설정'!$C$11),"",IF($L8="완료","완료",IF($M8="지연","지연",IF($M8="주의","주의",IF($J8&gt;0,"진행","계획")))))</f>
      </c>
    </row>
    <row r="9" ht="36" customHeight="1">
      <c r="A9" s="12" t="str">
        <v>WBS-008</v>
      </c>
      <c r="B9" s="12" t="str">
        <v>2번</v>
      </c>
      <c r="C9" s="12" t="str">
        <v>레벨 테스트</v>
      </c>
      <c r="D9" s="12" t="str">
        <v>조아진</v>
      </c>
      <c r="E9" s="13" t="str">
        <v>8문항 제출, 정답 계산, Bronze/Silver/Gold 반영 흐름 구현</v>
      </c>
      <c r="F9" s="13" t="str">
        <v>0-2 Bronze, 3-5 Silver, 6-8 Gold 기준 DB 반영</v>
      </c>
      <c r="G9" s="14" t="n">
        <v>46203</v>
      </c>
      <c r="H9" s="14" t="n">
        <v>46213</v>
      </c>
      <c r="I9" s="15" t="n">
        <v>0.1</v>
      </c>
      <c r="J9" s="15" t="n">
        <v>0</v>
      </c>
      <c r="K9" s="15" t="n">
        <f>IF(LEN($J9&amp;"")=0,"",$J9)</f>
        <v>0</v>
      </c>
      <c r="L9" s="12" t="str">
        <f>IF(LEN($K9&amp;"")=0,"",IF($K9&gt;=1,"완료",IF($K9&gt;0,"진행","준비")))</f>
        <v>준비</v>
      </c>
      <c r="M9" s="12" t="str">
        <f>IF(OR(LEN($I9&amp;"")=0,LEN($J9&amp;"")=0),"",IF($J9&gt;=1,"정상",IF($J9&gt;=$I9,"정상",IF($I9-$J9&gt;0.1,"지연","주의"))))</f>
        <v>주의</v>
      </c>
      <c r="N9" s="16" t="str">
        <v>학습</v>
      </c>
      <c r="O9" s="18" t="str">
        <f>IF(OR($G9&gt;'설정'!$D$3,$H9&lt;'설정'!$C$3),"",IF($L9="완료","완료",IF($M9="지연","지연",IF($M9="주의","주의",IF($J9&gt;0,"진행","계획")))))</f>
      </c>
      <c r="P9" s="18" t="str">
        <f>IF(OR($G9&gt;'설정'!$D$4,$H9&lt;'설정'!$C$4),"",IF($L9="완료","완료",IF($M9="지연","지연",IF($M9="주의","주의",IF($J9&gt;0,"진행","계획")))))</f>
      </c>
      <c r="Q9" s="18" t="str">
        <f>IF(OR($G9&gt;'설정'!$D$5,$H9&lt;'설정'!$C$5),"",IF($L9="완료","완료",IF($M9="지연","지연",IF($M9="주의","주의",IF($J9&gt;0,"진행","계획")))))</f>
      </c>
      <c r="R9" s="18" t="str">
        <f>IF(OR($G9&gt;'설정'!$D$6,$H9&lt;'설정'!$C$6),"",IF($L9="완료","완료",IF($M9="지연","지연",IF($M9="주의","주의",IF($J9&gt;0,"진행","계획")))))</f>
      </c>
      <c r="S9" s="18" t="str">
        <f>IF(OR($G9&gt;'설정'!$D$7,$H9&lt;'설정'!$C$7),"",IF($L9="완료","완료",IF($M9="지연","지연",IF($M9="주의","주의",IF($J9&gt;0,"진행","계획")))))</f>
        <v>주의</v>
      </c>
      <c r="T9" s="18" t="str">
        <f>IF(OR($G9&gt;'설정'!$D$8,$H9&lt;'설정'!$C$8),"",IF($L9="완료","완료",IF($M9="지연","지연",IF($M9="주의","주의",IF($J9&gt;0,"진행","계획")))))</f>
        <v>주의</v>
      </c>
      <c r="U9" s="18" t="str">
        <f>IF(OR($G9&gt;'설정'!$D$9,$H9&lt;'설정'!$C$9),"",IF($L9="완료","완료",IF($M9="지연","지연",IF($M9="주의","주의",IF($J9&gt;0,"진행","계획")))))</f>
        <v>주의</v>
      </c>
      <c r="V9" s="18" t="str">
        <f>IF(OR($G9&gt;'설정'!$D$10,$H9&lt;'설정'!$C$10),"",IF($L9="완료","완료",IF($M9="지연","지연",IF($M9="주의","주의",IF($J9&gt;0,"진행","계획")))))</f>
      </c>
      <c r="W9" s="18" t="str">
        <f>IF(OR($G9&gt;'설정'!$D$11,$H9&lt;'설정'!$C$11),"",IF($L9="완료","완료",IF($M9="지연","지연",IF($M9="주의","주의",IF($J9&gt;0,"진행","계획")))))</f>
      </c>
    </row>
    <row r="10" ht="36" customHeight="1">
      <c r="A10" s="12" t="str">
        <v>WBS-009</v>
      </c>
      <c r="B10" s="12" t="str">
        <v>2번</v>
      </c>
      <c r="C10" s="12" t="str">
        <v>출석 / unlock</v>
      </c>
      <c r="D10" s="12" t="str">
        <v>조아진</v>
      </c>
      <c r="E10" s="13" t="str">
        <v>attendance/streak 기록과 level unlock owner contract 정리</v>
      </c>
      <c r="F10" s="13" t="str">
        <v>unlock/attendance owner service 경유</v>
      </c>
      <c r="G10" s="14" t="n">
        <v>46204</v>
      </c>
      <c r="H10" s="14" t="n">
        <v>46215</v>
      </c>
      <c r="I10" s="15" t="n">
        <v>0</v>
      </c>
      <c r="J10" s="15" t="n">
        <v>0</v>
      </c>
      <c r="K10" s="15" t="n">
        <f>IF(LEN($J10&amp;"")=0,"",$J10)</f>
        <v>0</v>
      </c>
      <c r="L10" s="12" t="str">
        <f>IF(LEN($K10&amp;"")=0,"",IF($K10&gt;=1,"완료",IF($K10&gt;0,"진행","준비")))</f>
        <v>준비</v>
      </c>
      <c r="M10" s="12" t="str">
        <f>IF(OR(LEN($I10&amp;"")=0,LEN($J10&amp;"")=0),"",IF($J10&gt;=1,"정상",IF($J10&gt;=$I10,"정상",IF($I10-$J10&gt;0.1,"지연","주의"))))</f>
        <v>정상</v>
      </c>
      <c r="N10" s="16" t="str">
        <v>학습</v>
      </c>
      <c r="O10" s="18" t="str">
        <f>IF(OR($G10&gt;'설정'!$D$3,$H10&lt;'설정'!$C$3),"",IF($L10="완료","완료",IF($M10="지연","지연",IF($M10="주의","주의",IF($J10&gt;0,"진행","계획")))))</f>
      </c>
      <c r="P10" s="18" t="str">
        <f>IF(OR($G10&gt;'설정'!$D$4,$H10&lt;'설정'!$C$4),"",IF($L10="완료","완료",IF($M10="지연","지연",IF($M10="주의","주의",IF($J10&gt;0,"진행","계획")))))</f>
      </c>
      <c r="Q10" s="18" t="str">
        <f>IF(OR($G10&gt;'설정'!$D$5,$H10&lt;'설정'!$C$5),"",IF($L10="완료","완료",IF($M10="지연","지연",IF($M10="주의","주의",IF($J10&gt;0,"진행","계획")))))</f>
      </c>
      <c r="R10" s="18" t="str">
        <f>IF(OR($G10&gt;'설정'!$D$6,$H10&lt;'설정'!$C$6),"",IF($L10="완료","완료",IF($M10="지연","지연",IF($M10="주의","주의",IF($J10&gt;0,"진행","계획")))))</f>
      </c>
      <c r="S10" s="18" t="str">
        <f>IF(OR($G10&gt;'설정'!$D$7,$H10&lt;'설정'!$C$7),"",IF($L10="완료","완료",IF($M10="지연","지연",IF($M10="주의","주의",IF($J10&gt;0,"진행","계획")))))</f>
      </c>
      <c r="T10" s="18" t="str">
        <f>IF(OR($G10&gt;'설정'!$D$8,$H10&lt;'설정'!$C$8),"",IF($L10="완료","완료",IF($M10="지연","지연",IF($M10="주의","주의",IF($J10&gt;0,"진행","계획")))))</f>
        <v>계획</v>
      </c>
      <c r="U10" s="18" t="str">
        <f>IF(OR($G10&gt;'설정'!$D$9,$H10&lt;'설정'!$C$9),"",IF($L10="완료","완료",IF($M10="지연","지연",IF($M10="주의","주의",IF($J10&gt;0,"진행","계획")))))</f>
        <v>계획</v>
      </c>
      <c r="V10" s="18" t="str">
        <f>IF(OR($G10&gt;'설정'!$D$10,$H10&lt;'설정'!$C$10),"",IF($L10="완료","완료",IF($M10="지연","지연",IF($M10="주의","주의",IF($J10&gt;0,"진행","계획")))))</f>
      </c>
      <c r="W10" s="18" t="str">
        <f>IF(OR($G10&gt;'설정'!$D$11,$H10&lt;'설정'!$C$11),"",IF($L10="완료","완료",IF($M10="지연","지연",IF($M10="주의","주의",IF($J10&gt;0,"진행","계획")))))</f>
      </c>
    </row>
    <row r="11" ht="36" customHeight="1">
      <c r="A11" s="12" t="str">
        <v>WBS-010</v>
      </c>
      <c r="B11" s="12" t="str">
        <v>3번</v>
      </c>
      <c r="C11" s="12" t="str">
        <v>문제풀이</v>
      </c>
      <c r="D11" s="12" t="str">
        <v>고지연</v>
      </c>
      <c r="E11" s="13" t="str">
        <v>일반 문제 10문제 세트, 답안 제출, 등록 정답 기반 채점 구현</v>
      </c>
      <c r="F11" s="13" t="str">
        <v>10문제 중 7문제 이상 통과 기준 동작</v>
      </c>
      <c r="G11" s="14" t="n">
        <v>46203</v>
      </c>
      <c r="H11" s="14" t="n">
        <v>46215</v>
      </c>
      <c r="I11" s="15" t="n">
        <v>0.1</v>
      </c>
      <c r="J11" s="15" t="n">
        <v>0</v>
      </c>
      <c r="K11" s="15" t="n">
        <f>IF(LEN($J11&amp;"")=0,"",$J11)</f>
        <v>0</v>
      </c>
      <c r="L11" s="12" t="str">
        <f>IF(LEN($K11&amp;"")=0,"",IF($K11&gt;=1,"완료",IF($K11&gt;0,"진행","준비")))</f>
        <v>준비</v>
      </c>
      <c r="M11" s="12" t="str">
        <f>IF(OR(LEN($I11&amp;"")=0,LEN($J11&amp;"")=0),"",IF($J11&gt;=1,"정상",IF($J11&gt;=$I11,"정상",IF($I11-$J11&gt;0.1,"지연","주의"))))</f>
        <v>주의</v>
      </c>
      <c r="N11" s="16" t="str">
        <v>문제</v>
      </c>
      <c r="O11" s="18" t="str">
        <f>IF(OR($G11&gt;'설정'!$D$3,$H11&lt;'설정'!$C$3),"",IF($L11="완료","완료",IF($M11="지연","지연",IF($M11="주의","주의",IF($J11&gt;0,"진행","계획")))))</f>
      </c>
      <c r="P11" s="18" t="str">
        <f>IF(OR($G11&gt;'설정'!$D$4,$H11&lt;'설정'!$C$4),"",IF($L11="완료","완료",IF($M11="지연","지연",IF($M11="주의","주의",IF($J11&gt;0,"진행","계획")))))</f>
      </c>
      <c r="Q11" s="18" t="str">
        <f>IF(OR($G11&gt;'설정'!$D$5,$H11&lt;'설정'!$C$5),"",IF($L11="완료","완료",IF($M11="지연","지연",IF($M11="주의","주의",IF($J11&gt;0,"진행","계획")))))</f>
      </c>
      <c r="R11" s="18" t="str">
        <f>IF(OR($G11&gt;'설정'!$D$6,$H11&lt;'설정'!$C$6),"",IF($L11="완료","완료",IF($M11="지연","지연",IF($M11="주의","주의",IF($J11&gt;0,"진행","계획")))))</f>
      </c>
      <c r="S11" s="18" t="str">
        <f>IF(OR($G11&gt;'설정'!$D$7,$H11&lt;'설정'!$C$7),"",IF($L11="완료","완료",IF($M11="지연","지연",IF($M11="주의","주의",IF($J11&gt;0,"진행","계획")))))</f>
        <v>주의</v>
      </c>
      <c r="T11" s="18" t="str">
        <f>IF(OR($G11&gt;'설정'!$D$8,$H11&lt;'설정'!$C$8),"",IF($L11="완료","완료",IF($M11="지연","지연",IF($M11="주의","주의",IF($J11&gt;0,"진행","계획")))))</f>
        <v>주의</v>
      </c>
      <c r="U11" s="18" t="str">
        <f>IF(OR($G11&gt;'설정'!$D$9,$H11&lt;'설정'!$C$9),"",IF($L11="완료","완료",IF($M11="지연","지연",IF($M11="주의","주의",IF($J11&gt;0,"진행","계획")))))</f>
        <v>주의</v>
      </c>
      <c r="V11" s="18" t="str">
        <f>IF(OR($G11&gt;'설정'!$D$10,$H11&lt;'설정'!$C$10),"",IF($L11="완료","완료",IF($M11="지연","지연",IF($M11="주의","주의",IF($J11&gt;0,"진행","계획")))))</f>
      </c>
      <c r="W11" s="18" t="str">
        <f>IF(OR($G11&gt;'설정'!$D$11,$H11&lt;'설정'!$C$11),"",IF($L11="완료","완료",IF($M11="지연","지연",IF($M11="주의","주의",IF($J11&gt;0,"진행","계획")))))</f>
      </c>
    </row>
    <row r="12" ht="36" customHeight="1">
      <c r="A12" s="12" t="str">
        <v>WBS-011</v>
      </c>
      <c r="B12" s="12" t="str">
        <v>3번</v>
      </c>
      <c r="C12" s="12" t="str">
        <v>오답 복습</v>
      </c>
      <c r="D12" s="12" t="str">
        <v>고지연</v>
      </c>
      <c r="E12" s="13" t="str">
        <v>오답 저장, 오답 목록/상세, 재정답, +5 1회 지급 흐름 구현</v>
      </c>
      <c r="F12" s="13" t="str">
        <v>오답 재풀이 결과와 점수 이벤트 저장</v>
      </c>
      <c r="G12" s="14" t="n">
        <v>46206</v>
      </c>
      <c r="H12" s="14" t="n">
        <v>46217</v>
      </c>
      <c r="I12" s="15" t="n">
        <v>0</v>
      </c>
      <c r="J12" s="15" t="n">
        <v>0</v>
      </c>
      <c r="K12" s="15" t="n">
        <f>IF(LEN($J12&amp;"")=0,"",$J12)</f>
        <v>0</v>
      </c>
      <c r="L12" s="12" t="str">
        <f>IF(LEN($K12&amp;"")=0,"",IF($K12&gt;=1,"완료",IF($K12&gt;0,"진행","준비")))</f>
        <v>준비</v>
      </c>
      <c r="M12" s="12" t="str">
        <f>IF(OR(LEN($I12&amp;"")=0,LEN($J12&amp;"")=0),"",IF($J12&gt;=1,"정상",IF($J12&gt;=$I12,"정상",IF($I12-$J12&gt;0.1,"지연","주의"))))</f>
        <v>정상</v>
      </c>
      <c r="N12" s="16" t="str">
        <v>문제</v>
      </c>
      <c r="O12" s="18" t="str">
        <f>IF(OR($G12&gt;'설정'!$D$3,$H12&lt;'설정'!$C$3),"",IF($L12="완료","완료",IF($M12="지연","지연",IF($M12="주의","주의",IF($J12&gt;0,"진행","계획")))))</f>
      </c>
      <c r="P12" s="18" t="str">
        <f>IF(OR($G12&gt;'설정'!$D$4,$H12&lt;'설정'!$C$4),"",IF($L12="완료","완료",IF($M12="지연","지연",IF($M12="주의","주의",IF($J12&gt;0,"진행","계획")))))</f>
      </c>
      <c r="Q12" s="18" t="str">
        <f>IF(OR($G12&gt;'설정'!$D$5,$H12&lt;'설정'!$C$5),"",IF($L12="완료","완료",IF($M12="지연","지연",IF($M12="주의","주의",IF($J12&gt;0,"진행","계획")))))</f>
      </c>
      <c r="R12" s="18" t="str">
        <f>IF(OR($G12&gt;'설정'!$D$6,$H12&lt;'설정'!$C$6),"",IF($L12="완료","완료",IF($M12="지연","지연",IF($M12="주의","주의",IF($J12&gt;0,"진행","계획")))))</f>
      </c>
      <c r="S12" s="18" t="str">
        <f>IF(OR($G12&gt;'설정'!$D$7,$H12&lt;'설정'!$C$7),"",IF($L12="완료","완료",IF($M12="지연","지연",IF($M12="주의","주의",IF($J12&gt;0,"진행","계획")))))</f>
      </c>
      <c r="T12" s="18" t="str">
        <f>IF(OR($G12&gt;'설정'!$D$8,$H12&lt;'설정'!$C$8),"",IF($L12="완료","완료",IF($M12="지연","지연",IF($M12="주의","주의",IF($J12&gt;0,"진행","계획")))))</f>
        <v>계획</v>
      </c>
      <c r="U12" s="18" t="str">
        <f>IF(OR($G12&gt;'설정'!$D$9,$H12&lt;'설정'!$C$9),"",IF($L12="완료","완료",IF($M12="지연","지연",IF($M12="주의","주의",IF($J12&gt;0,"진행","계획")))))</f>
        <v>계획</v>
      </c>
      <c r="V12" s="18" t="str">
        <f>IF(OR($G12&gt;'설정'!$D$10,$H12&lt;'설정'!$C$10),"",IF($L12="완료","완료",IF($M12="지연","지연",IF($M12="주의","주의",IF($J12&gt;0,"진행","계획")))))</f>
        <v>계획</v>
      </c>
      <c r="W12" s="18" t="str">
        <f>IF(OR($G12&gt;'설정'!$D$11,$H12&lt;'설정'!$C$11),"",IF($L12="완료","완료",IF($M12="지연","지연",IF($M12="주의","주의",IF($J12&gt;0,"진행","계획")))))</f>
      </c>
    </row>
    <row r="13" ht="36" customHeight="1">
      <c r="A13" s="12" t="str">
        <v>WBS-012</v>
      </c>
      <c r="B13" s="12" t="str">
        <v>3번</v>
      </c>
      <c r="C13" s="12" t="str">
        <v>점수 / 랭킹</v>
      </c>
      <c r="D13" s="12" t="str">
        <v>고지연</v>
      </c>
      <c r="E13" s="13" t="str">
        <v>score_events 기반 ranking 조회 구현 및 출석 점수 제외</v>
      </c>
      <c r="F13" s="13" t="str">
        <v>ranking이 문제/시험 점수 기준으로 조회</v>
      </c>
      <c r="G13" s="14" t="n">
        <v>46208</v>
      </c>
      <c r="H13" s="14" t="n">
        <v>46219</v>
      </c>
      <c r="I13" s="15" t="n">
        <v>0</v>
      </c>
      <c r="J13" s="15" t="n">
        <v>0</v>
      </c>
      <c r="K13" s="15" t="n">
        <f>IF(LEN($J13&amp;"")=0,"",$J13)</f>
        <v>0</v>
      </c>
      <c r="L13" s="12" t="str">
        <f>IF(LEN($K13&amp;"")=0,"",IF($K13&gt;=1,"완료",IF($K13&gt;0,"진행","준비")))</f>
        <v>준비</v>
      </c>
      <c r="M13" s="12" t="str">
        <f>IF(OR(LEN($I13&amp;"")=0,LEN($J13&amp;"")=0),"",IF($J13&gt;=1,"정상",IF($J13&gt;=$I13,"정상",IF($I13-$J13&gt;0.1,"지연","주의"))))</f>
        <v>정상</v>
      </c>
      <c r="N13" s="16" t="str">
        <v>문제</v>
      </c>
      <c r="O13" s="18" t="str">
        <f>IF(OR($G13&gt;'설정'!$D$3,$H13&lt;'설정'!$C$3),"",IF($L13="완료","완료",IF($M13="지연","지연",IF($M13="주의","주의",IF($J13&gt;0,"진행","계획")))))</f>
      </c>
      <c r="P13" s="18" t="str">
        <f>IF(OR($G13&gt;'설정'!$D$4,$H13&lt;'설정'!$C$4),"",IF($L13="완료","완료",IF($M13="지연","지연",IF($M13="주의","주의",IF($J13&gt;0,"진행","계획")))))</f>
      </c>
      <c r="Q13" s="18" t="str">
        <f>IF(OR($G13&gt;'설정'!$D$5,$H13&lt;'설정'!$C$5),"",IF($L13="완료","완료",IF($M13="지연","지연",IF($M13="주의","주의",IF($J13&gt;0,"진행","계획")))))</f>
      </c>
      <c r="R13" s="18" t="str">
        <f>IF(OR($G13&gt;'설정'!$D$6,$H13&lt;'설정'!$C$6),"",IF($L13="완료","완료",IF($M13="지연","지연",IF($M13="주의","주의",IF($J13&gt;0,"진행","계획")))))</f>
      </c>
      <c r="S13" s="18" t="str">
        <f>IF(OR($G13&gt;'설정'!$D$7,$H13&lt;'설정'!$C$7),"",IF($L13="완료","완료",IF($M13="지연","지연",IF($M13="주의","주의",IF($J13&gt;0,"진행","계획")))))</f>
      </c>
      <c r="T13" s="18" t="str">
        <f>IF(OR($G13&gt;'설정'!$D$8,$H13&lt;'설정'!$C$8),"",IF($L13="완료","완료",IF($M13="지연","지연",IF($M13="주의","주의",IF($J13&gt;0,"진행","계획")))))</f>
        <v>계획</v>
      </c>
      <c r="U13" s="18" t="str">
        <f>IF(OR($G13&gt;'설정'!$D$9,$H13&lt;'설정'!$C$9),"",IF($L13="완료","완료",IF($M13="지연","지연",IF($M13="주의","주의",IF($J13&gt;0,"진행","계획")))))</f>
        <v>계획</v>
      </c>
      <c r="V13" s="18" t="str">
        <f>IF(OR($G13&gt;'설정'!$D$10,$H13&lt;'설정'!$C$10),"",IF($L13="완료","완료",IF($M13="지연","지연",IF($M13="주의","주의",IF($J13&gt;0,"진행","계획")))))</f>
        <v>계획</v>
      </c>
      <c r="W13" s="18" t="str">
        <f>IF(OR($G13&gt;'설정'!$D$11,$H13&lt;'설정'!$C$11),"",IF($L13="완료","완료",IF($M13="지연","지연",IF($M13="주의","주의",IF($J13&gt;0,"진행","계획")))))</f>
      </c>
    </row>
    <row r="14" ht="36" customHeight="1">
      <c r="A14" s="12" t="str">
        <v>WBS-013</v>
      </c>
      <c r="B14" s="12" t="str">
        <v>4번</v>
      </c>
      <c r="C14" s="12" t="str">
        <v>AI 코딩테스트</v>
      </c>
      <c r="D14" s="12" t="str">
        <v>이현겸</v>
      </c>
      <c r="E14" s="13" t="str">
        <v>시험 eligibility, session/status, 답안 저장, retry 흐름 구현</v>
      </c>
      <c r="F14" s="13" t="str">
        <v>SR-008 시험 응시와 결과 흐름 route/API/MVC 연결</v>
      </c>
      <c r="G14" s="14" t="n">
        <v>46200</v>
      </c>
      <c r="H14" s="14" t="n">
        <v>46217</v>
      </c>
      <c r="I14" s="15" t="n">
        <v>0.2</v>
      </c>
      <c r="J14" s="15" t="n">
        <v>0.1</v>
      </c>
      <c r="K14" s="15" t="n">
        <f>IF(LEN($J14&amp;"")=0,"",$J14)</f>
        <v>0.1</v>
      </c>
      <c r="L14" s="12" t="str">
        <f>IF(LEN($K14&amp;"")=0,"",IF($K14&gt;=1,"완료",IF($K14&gt;0,"진행","준비")))</f>
        <v>진행</v>
      </c>
      <c r="M14" s="12" t="str">
        <f>IF(OR(LEN($I14&amp;"")=0,LEN($J14&amp;"")=0),"",IF($J14&gt;=1,"정상",IF($J14&gt;=$I14,"정상",IF($I14-$J14&gt;0.1,"지연","주의"))))</f>
        <v>주의</v>
      </c>
      <c r="N14" s="16" t="str">
        <v>AI</v>
      </c>
      <c r="O14" s="18" t="str">
        <f>IF(OR($G14&gt;'설정'!$D$3,$H14&lt;'설정'!$C$3),"",IF($L14="완료","완료",IF($M14="지연","지연",IF($M14="주의","주의",IF($J14&gt;0,"진행","계획")))))</f>
      </c>
      <c r="P14" s="18" t="str">
        <f>IF(OR($G14&gt;'설정'!$D$4,$H14&lt;'설정'!$C$4),"",IF($L14="완료","완료",IF($M14="지연","지연",IF($M14="주의","주의",IF($J14&gt;0,"진행","계획")))))</f>
      </c>
      <c r="Q14" s="18" t="str">
        <f>IF(OR($G14&gt;'설정'!$D$5,$H14&lt;'설정'!$C$5),"",IF($L14="완료","완료",IF($M14="지연","지연",IF($M14="주의","주의",IF($J14&gt;0,"진행","계획")))))</f>
      </c>
      <c r="R14" s="18" t="str">
        <f>IF(OR($G14&gt;'설정'!$D$6,$H14&lt;'설정'!$C$6),"",IF($L14="완료","완료",IF($M14="지연","지연",IF($M14="주의","주의",IF($J14&gt;0,"진행","계획")))))</f>
        <v>주의</v>
      </c>
      <c r="S14" s="18" t="str">
        <f>IF(OR($G14&gt;'설정'!$D$7,$H14&lt;'설정'!$C$7),"",IF($L14="완료","완료",IF($M14="지연","지연",IF($M14="주의","주의",IF($J14&gt;0,"진행","계획")))))</f>
        <v>주의</v>
      </c>
      <c r="T14" s="18" t="str">
        <f>IF(OR($G14&gt;'설정'!$D$8,$H14&lt;'설정'!$C$8),"",IF($L14="완료","완료",IF($M14="지연","지연",IF($M14="주의","주의",IF($J14&gt;0,"진행","계획")))))</f>
        <v>주의</v>
      </c>
      <c r="U14" s="18" t="str">
        <f>IF(OR($G14&gt;'설정'!$D$9,$H14&lt;'설정'!$C$9),"",IF($L14="완료","완료",IF($M14="지연","지연",IF($M14="주의","주의",IF($J14&gt;0,"진행","계획")))))</f>
        <v>주의</v>
      </c>
      <c r="V14" s="18" t="str">
        <f>IF(OR($G14&gt;'설정'!$D$10,$H14&lt;'설정'!$C$10),"",IF($L14="완료","완료",IF($M14="지연","지연",IF($M14="주의","주의",IF($J14&gt;0,"진행","계획")))))</f>
        <v>주의</v>
      </c>
      <c r="W14" s="18" t="str">
        <f>IF(OR($G14&gt;'설정'!$D$11,$H14&lt;'설정'!$C$11),"",IF($L14="완료","완료",IF($M14="지연","지연",IF($M14="주의","주의",IF($J14&gt;0,"진행","계획")))))</f>
      </c>
    </row>
    <row r="15" ht="36" customHeight="1">
      <c r="A15" s="12" t="str">
        <v>WBS-014</v>
      </c>
      <c r="B15" s="12" t="str">
        <v>4번</v>
      </c>
      <c r="C15" s="12" t="str">
        <v>ChatGPT API</v>
      </c>
      <c r="D15" s="12" t="str">
        <v>이현겸</v>
      </c>
      <c r="E15" s="13" t="str">
        <v>ChatGPT API adapter, prompt schema, request log, timeout/retry 기준 구현</v>
      </c>
      <c r="F15" s="13" t="str">
        <v>로컬 LLM 없이 ChatGPT API 호출 성공/실패 기록</v>
      </c>
      <c r="G15" s="14" t="n">
        <v>46200</v>
      </c>
      <c r="H15" s="14" t="n">
        <v>46213</v>
      </c>
      <c r="I15" s="15" t="n">
        <v>0.2</v>
      </c>
      <c r="J15" s="15" t="n">
        <v>0.15</v>
      </c>
      <c r="K15" s="15" t="n">
        <f>IF(LEN($J15&amp;"")=0,"",$J15)</f>
        <v>0.15</v>
      </c>
      <c r="L15" s="12" t="str">
        <f>IF(LEN($K15&amp;"")=0,"",IF($K15&gt;=1,"완료",IF($K15&gt;0,"진행","준비")))</f>
        <v>진행</v>
      </c>
      <c r="M15" s="12" t="str">
        <f>IF(OR(LEN($I15&amp;"")=0,LEN($J15&amp;"")=0),"",IF($J15&gt;=1,"정상",IF($J15&gt;=$I15,"정상",IF($I15-$J15&gt;0.1,"지연","주의"))))</f>
        <v>주의</v>
      </c>
      <c r="N15" s="16" t="str">
        <v>AI</v>
      </c>
      <c r="O15" s="18" t="str">
        <f>IF(OR($G15&gt;'설정'!$D$3,$H15&lt;'설정'!$C$3),"",IF($L15="완료","완료",IF($M15="지연","지연",IF($M15="주의","주의",IF($J15&gt;0,"진행","계획")))))</f>
      </c>
      <c r="P15" s="18" t="str">
        <f>IF(OR($G15&gt;'설정'!$D$4,$H15&lt;'설정'!$C$4),"",IF($L15="완료","완료",IF($M15="지연","지연",IF($M15="주의","주의",IF($J15&gt;0,"진행","계획")))))</f>
      </c>
      <c r="Q15" s="18" t="str">
        <f>IF(OR($G15&gt;'설정'!$D$5,$H15&lt;'설정'!$C$5),"",IF($L15="완료","완료",IF($M15="지연","지연",IF($M15="주의","주의",IF($J15&gt;0,"진행","계획")))))</f>
      </c>
      <c r="R15" s="18" t="str">
        <f>IF(OR($G15&gt;'설정'!$D$6,$H15&lt;'설정'!$C$6),"",IF($L15="완료","완료",IF($M15="지연","지연",IF($M15="주의","주의",IF($J15&gt;0,"진행","계획")))))</f>
        <v>주의</v>
      </c>
      <c r="S15" s="18" t="str">
        <f>IF(OR($G15&gt;'설정'!$D$7,$H15&lt;'설정'!$C$7),"",IF($L15="완료","완료",IF($M15="지연","지연",IF($M15="주의","주의",IF($J15&gt;0,"진행","계획")))))</f>
        <v>주의</v>
      </c>
      <c r="T15" s="18" t="str">
        <f>IF(OR($G15&gt;'설정'!$D$8,$H15&lt;'설정'!$C$8),"",IF($L15="완료","완료",IF($M15="지연","지연",IF($M15="주의","주의",IF($J15&gt;0,"진행","계획")))))</f>
        <v>주의</v>
      </c>
      <c r="U15" s="18" t="str">
        <f>IF(OR($G15&gt;'설정'!$D$9,$H15&lt;'설정'!$C$9),"",IF($L15="완료","완료",IF($M15="지연","지연",IF($M15="주의","주의",IF($J15&gt;0,"진행","계획")))))</f>
        <v>주의</v>
      </c>
      <c r="V15" s="18" t="str">
        <f>IF(OR($G15&gt;'설정'!$D$10,$H15&lt;'설정'!$C$10),"",IF($L15="완료","완료",IF($M15="지연","지연",IF($M15="주의","주의",IF($J15&gt;0,"진행","계획")))))</f>
      </c>
      <c r="W15" s="18" t="str">
        <f>IF(OR($G15&gt;'설정'!$D$11,$H15&lt;'설정'!$C$11),"",IF($L15="완료","완료",IF($M15="지연","지연",IF($M15="주의","주의",IF($J15&gt;0,"진행","계획")))))</f>
      </c>
    </row>
    <row r="16" ht="36" customHeight="1">
      <c r="A16" s="12" t="str">
        <v>WBS-015</v>
      </c>
      <c r="B16" s="12" t="str">
        <v>4번</v>
      </c>
      <c r="C16" s="12" t="str">
        <v>테스트케이스 실행 채점</v>
      </c>
      <c r="D16" s="12" t="str">
        <v>이현겸</v>
      </c>
      <c r="E16" s="13" t="str">
        <v>AI는 생성/해설/코드 리뷰만 담당하고 정답 판정은 testcase 실행으로 처리</v>
      </c>
      <c r="F16" s="13" t="str">
        <v>정답/오답 판정이 testcase 실행 결과로 저장</v>
      </c>
      <c r="G16" s="14" t="n">
        <v>46204</v>
      </c>
      <c r="H16" s="14" t="n">
        <v>46219</v>
      </c>
      <c r="I16" s="15" t="n">
        <v>0</v>
      </c>
      <c r="J16" s="15" t="n">
        <v>0</v>
      </c>
      <c r="K16" s="15" t="n">
        <f>IF(LEN($J16&amp;"")=0,"",$J16)</f>
        <v>0</v>
      </c>
      <c r="L16" s="12" t="str">
        <f>IF(LEN($K16&amp;"")=0,"",IF($K16&gt;=1,"완료",IF($K16&gt;0,"진행","준비")))</f>
        <v>준비</v>
      </c>
      <c r="M16" s="12" t="str">
        <f>IF(OR(LEN($I16&amp;"")=0,LEN($J16&amp;"")=0),"",IF($J16&gt;=1,"정상",IF($J16&gt;=$I16,"정상",IF($I16-$J16&gt;0.1,"지연","주의"))))</f>
        <v>정상</v>
      </c>
      <c r="N16" s="16" t="str">
        <v>AI</v>
      </c>
      <c r="O16" s="18" t="str">
        <f>IF(OR($G16&gt;'설정'!$D$3,$H16&lt;'설정'!$C$3),"",IF($L16="완료","완료",IF($M16="지연","지연",IF($M16="주의","주의",IF($J16&gt;0,"진행","계획")))))</f>
      </c>
      <c r="P16" s="18" t="str">
        <f>IF(OR($G16&gt;'설정'!$D$4,$H16&lt;'설정'!$C$4),"",IF($L16="완료","완료",IF($M16="지연","지연",IF($M16="주의","주의",IF($J16&gt;0,"진행","계획")))))</f>
      </c>
      <c r="Q16" s="18" t="str">
        <f>IF(OR($G16&gt;'설정'!$D$5,$H16&lt;'설정'!$C$5),"",IF($L16="완료","완료",IF($M16="지연","지연",IF($M16="주의","주의",IF($J16&gt;0,"진행","계획")))))</f>
      </c>
      <c r="R16" s="18" t="str">
        <f>IF(OR($G16&gt;'설정'!$D$6,$H16&lt;'설정'!$C$6),"",IF($L16="완료","완료",IF($M16="지연","지연",IF($M16="주의","주의",IF($J16&gt;0,"진행","계획")))))</f>
      </c>
      <c r="S16" s="18" t="str">
        <f>IF(OR($G16&gt;'설정'!$D$7,$H16&lt;'설정'!$C$7),"",IF($L16="완료","완료",IF($M16="지연","지연",IF($M16="주의","주의",IF($J16&gt;0,"진행","계획")))))</f>
      </c>
      <c r="T16" s="18" t="str">
        <f>IF(OR($G16&gt;'설정'!$D$8,$H16&lt;'설정'!$C$8),"",IF($L16="완료","완료",IF($M16="지연","지연",IF($M16="주의","주의",IF($J16&gt;0,"진행","계획")))))</f>
        <v>계획</v>
      </c>
      <c r="U16" s="18" t="str">
        <f>IF(OR($G16&gt;'설정'!$D$9,$H16&lt;'설정'!$C$9),"",IF($L16="완료","완료",IF($M16="지연","지연",IF($M16="주의","주의",IF($J16&gt;0,"진행","계획")))))</f>
        <v>계획</v>
      </c>
      <c r="V16" s="18" t="str">
        <f>IF(OR($G16&gt;'설정'!$D$10,$H16&lt;'설정'!$C$10),"",IF($L16="완료","완료",IF($M16="지연","지연",IF($M16="주의","주의",IF($J16&gt;0,"진행","계획")))))</f>
        <v>계획</v>
      </c>
      <c r="W16" s="18" t="str">
        <f>IF(OR($G16&gt;'설정'!$D$11,$H16&lt;'설정'!$C$11),"",IF($L16="완료","완료",IF($M16="지연","지연",IF($M16="주의","주의",IF($J16&gt;0,"진행","계획")))))</f>
      </c>
    </row>
    <row r="17" ht="36" customHeight="1">
      <c r="A17" s="12" t="str">
        <v>WBS-016</v>
      </c>
      <c r="B17" s="12" t="str">
        <v>4번</v>
      </c>
      <c r="C17" s="12" t="str">
        <v>AI 분석</v>
      </c>
      <c r="D17" s="12" t="str">
        <v>이현겸</v>
      </c>
      <c r="E17" s="13" t="str">
        <v>무료 요약, Premium 상세, 분석 상태, 실패/재시도 흐름 구현</v>
      </c>
      <c r="F17" s="13" t="str">
        <v>Premium 접근은 PaymentAccessService 기준 경유</v>
      </c>
      <c r="G17" s="14" t="n">
        <v>46208</v>
      </c>
      <c r="H17" s="14" t="n">
        <v>46221</v>
      </c>
      <c r="I17" s="15" t="n">
        <v>0</v>
      </c>
      <c r="J17" s="15" t="n">
        <v>0</v>
      </c>
      <c r="K17" s="15" t="n">
        <f>IF(LEN($J17&amp;"")=0,"",$J17)</f>
        <v>0</v>
      </c>
      <c r="L17" s="12" t="str">
        <f>IF(LEN($K17&amp;"")=0,"",IF($K17&gt;=1,"완료",IF($K17&gt;0,"진행","준비")))</f>
        <v>준비</v>
      </c>
      <c r="M17" s="12" t="str">
        <f>IF(OR(LEN($I17&amp;"")=0,LEN($J17&amp;"")=0),"",IF($J17&gt;=1,"정상",IF($J17&gt;=$I17,"정상",IF($I17-$J17&gt;0.1,"지연","주의"))))</f>
        <v>정상</v>
      </c>
      <c r="N17" s="16" t="str">
        <v>AI</v>
      </c>
      <c r="O17" s="18" t="str">
        <f>IF(OR($G17&gt;'설정'!$D$3,$H17&lt;'설정'!$C$3),"",IF($L17="완료","완료",IF($M17="지연","지연",IF($M17="주의","주의",IF($J17&gt;0,"진행","계획")))))</f>
      </c>
      <c r="P17" s="18" t="str">
        <f>IF(OR($G17&gt;'설정'!$D$4,$H17&lt;'설정'!$C$4),"",IF($L17="완료","완료",IF($M17="지연","지연",IF($M17="주의","주의",IF($J17&gt;0,"진행","계획")))))</f>
      </c>
      <c r="Q17" s="18" t="str">
        <f>IF(OR($G17&gt;'설정'!$D$5,$H17&lt;'설정'!$C$5),"",IF($L17="완료","완료",IF($M17="지연","지연",IF($M17="주의","주의",IF($J17&gt;0,"진행","계획")))))</f>
      </c>
      <c r="R17" s="18" t="str">
        <f>IF(OR($G17&gt;'설정'!$D$6,$H17&lt;'설정'!$C$6),"",IF($L17="완료","완료",IF($M17="지연","지연",IF($M17="주의","주의",IF($J17&gt;0,"진행","계획")))))</f>
      </c>
      <c r="S17" s="18" t="str">
        <f>IF(OR($G17&gt;'설정'!$D$7,$H17&lt;'설정'!$C$7),"",IF($L17="완료","완료",IF($M17="지연","지연",IF($M17="주의","주의",IF($J17&gt;0,"진행","계획")))))</f>
      </c>
      <c r="T17" s="18" t="str">
        <f>IF(OR($G17&gt;'설정'!$D$8,$H17&lt;'설정'!$C$8),"",IF($L17="완료","완료",IF($M17="지연","지연",IF($M17="주의","주의",IF($J17&gt;0,"진행","계획")))))</f>
        <v>계획</v>
      </c>
      <c r="U17" s="18" t="str">
        <f>IF(OR($G17&gt;'설정'!$D$9,$H17&lt;'설정'!$C$9),"",IF($L17="완료","완료",IF($M17="지연","지연",IF($M17="주의","주의",IF($J17&gt;0,"진행","계획")))))</f>
        <v>계획</v>
      </c>
      <c r="V17" s="18" t="str">
        <f>IF(OR($G17&gt;'설정'!$D$10,$H17&lt;'설정'!$C$10),"",IF($L17="완료","완료",IF($M17="지연","지연",IF($M17="주의","주의",IF($J17&gt;0,"진행","계획")))))</f>
        <v>계획</v>
      </c>
      <c r="W17" s="18" t="str">
        <f>IF(OR($G17&gt;'설정'!$D$11,$H17&lt;'설정'!$C$11),"",IF($L17="완료","완료",IF($M17="지연","지연",IF($M17="주의","주의",IF($J17&gt;0,"진행","계획")))))</f>
      </c>
    </row>
    <row r="18" ht="36" customHeight="1">
      <c r="A18" s="12" t="str">
        <v>WBS-017</v>
      </c>
      <c r="B18" s="12" t="str">
        <v>5번</v>
      </c>
      <c r="C18" s="12" t="str">
        <v>커뮤니티</v>
      </c>
      <c r="D18" s="12" t="str">
        <v>장윤성</v>
      </c>
      <c r="E18" s="13" t="str">
        <v>게시글, 댓글, 좋아요, 스크랩, 신고 흐름 구현</v>
      </c>
      <c r="F18" s="13" t="str">
        <v>owner/admin 권한 기준으로 커뮤니티 CRUD와 반응 기능 동작</v>
      </c>
      <c r="G18" s="14" t="n">
        <v>46204</v>
      </c>
      <c r="H18" s="14" t="n">
        <v>46218</v>
      </c>
      <c r="I18" s="15" t="n">
        <v>0</v>
      </c>
      <c r="J18" s="15" t="n">
        <v>0</v>
      </c>
      <c r="K18" s="15" t="n">
        <f>IF(LEN($J18&amp;"")=0,"",$J18)</f>
        <v>0</v>
      </c>
      <c r="L18" s="12" t="str">
        <f>IF(LEN($K18&amp;"")=0,"",IF($K18&gt;=1,"완료",IF($K18&gt;0,"진행","준비")))</f>
        <v>준비</v>
      </c>
      <c r="M18" s="12" t="str">
        <f>IF(OR(LEN($I18&amp;"")=0,LEN($J18&amp;"")=0),"",IF($J18&gt;=1,"정상",IF($J18&gt;=$I18,"정상",IF($I18-$J18&gt;0.1,"지연","주의"))))</f>
        <v>정상</v>
      </c>
      <c r="N18" s="16" t="str">
        <v>커뮤니티</v>
      </c>
      <c r="O18" s="18" t="str">
        <f>IF(OR($G18&gt;'설정'!$D$3,$H18&lt;'설정'!$C$3),"",IF($L18="완료","완료",IF($M18="지연","지연",IF($M18="주의","주의",IF($J18&gt;0,"진행","계획")))))</f>
      </c>
      <c r="P18" s="18" t="str">
        <f>IF(OR($G18&gt;'설정'!$D$4,$H18&lt;'설정'!$C$4),"",IF($L18="완료","완료",IF($M18="지연","지연",IF($M18="주의","주의",IF($J18&gt;0,"진행","계획")))))</f>
      </c>
      <c r="Q18" s="18" t="str">
        <f>IF(OR($G18&gt;'설정'!$D$5,$H18&lt;'설정'!$C$5),"",IF($L18="완료","완료",IF($M18="지연","지연",IF($M18="주의","주의",IF($J18&gt;0,"진행","계획")))))</f>
      </c>
      <c r="R18" s="18" t="str">
        <f>IF(OR($G18&gt;'설정'!$D$6,$H18&lt;'설정'!$C$6),"",IF($L18="완료","완료",IF($M18="지연","지연",IF($M18="주의","주의",IF($J18&gt;0,"진행","계획")))))</f>
      </c>
      <c r="S18" s="18" t="str">
        <f>IF(OR($G18&gt;'설정'!$D$7,$H18&lt;'설정'!$C$7),"",IF($L18="완료","완료",IF($M18="지연","지연",IF($M18="주의","주의",IF($J18&gt;0,"진행","계획")))))</f>
      </c>
      <c r="T18" s="18" t="str">
        <f>IF(OR($G18&gt;'설정'!$D$8,$H18&lt;'설정'!$C$8),"",IF($L18="완료","완료",IF($M18="지연","지연",IF($M18="주의","주의",IF($J18&gt;0,"진행","계획")))))</f>
        <v>계획</v>
      </c>
      <c r="U18" s="18" t="str">
        <f>IF(OR($G18&gt;'설정'!$D$9,$H18&lt;'설정'!$C$9),"",IF($L18="완료","완료",IF($M18="지연","지연",IF($M18="주의","주의",IF($J18&gt;0,"진행","계획")))))</f>
        <v>계획</v>
      </c>
      <c r="V18" s="18" t="str">
        <f>IF(OR($G18&gt;'설정'!$D$10,$H18&lt;'설정'!$C$10),"",IF($L18="완료","완료",IF($M18="지연","지연",IF($M18="주의","주의",IF($J18&gt;0,"진행","계획")))))</f>
        <v>계획</v>
      </c>
      <c r="W18" s="18" t="str">
        <f>IF(OR($G18&gt;'설정'!$D$11,$H18&lt;'설정'!$C$11),"",IF($L18="완료","완료",IF($M18="지연","지연",IF($M18="주의","주의",IF($J18&gt;0,"진행","계획")))))</f>
      </c>
    </row>
    <row r="19" ht="36" customHeight="1">
      <c r="A19" s="12" t="str">
        <v>WBS-018</v>
      </c>
      <c r="B19" s="12" t="str">
        <v>5번</v>
      </c>
      <c r="C19" s="12" t="str">
        <v>첨부 파일</v>
      </c>
      <c r="D19" s="12" t="str">
        <v>장윤성</v>
      </c>
      <c r="E19" s="13" t="str">
        <v>multipart upload, attachment metadata, 파일 제한 정책 구현</v>
      </c>
      <c r="F19" s="13" t="str">
        <v>첨부 저장/조회/삭제 기준이 커뮤니티 transaction에 맞게 동작</v>
      </c>
      <c r="G19" s="14" t="n">
        <v>46207</v>
      </c>
      <c r="H19" s="14" t="n">
        <v>46219</v>
      </c>
      <c r="I19" s="15" t="n">
        <v>0</v>
      </c>
      <c r="J19" s="15" t="n">
        <v>0</v>
      </c>
      <c r="K19" s="15" t="n">
        <f>IF(LEN($J19&amp;"")=0,"",$J19)</f>
        <v>0</v>
      </c>
      <c r="L19" s="12" t="str">
        <f>IF(LEN($K19&amp;"")=0,"",IF($K19&gt;=1,"완료",IF($K19&gt;0,"진행","준비")))</f>
        <v>준비</v>
      </c>
      <c r="M19" s="12" t="str">
        <f>IF(OR(LEN($I19&amp;"")=0,LEN($J19&amp;"")=0),"",IF($J19&gt;=1,"정상",IF($J19&gt;=$I19,"정상",IF($I19-$J19&gt;0.1,"지연","주의"))))</f>
        <v>정상</v>
      </c>
      <c r="N19" s="16" t="str">
        <v>커뮤니티</v>
      </c>
      <c r="O19" s="18" t="str">
        <f>IF(OR($G19&gt;'설정'!$D$3,$H19&lt;'설정'!$C$3),"",IF($L19="완료","완료",IF($M19="지연","지연",IF($M19="주의","주의",IF($J19&gt;0,"진행","계획")))))</f>
      </c>
      <c r="P19" s="18" t="str">
        <f>IF(OR($G19&gt;'설정'!$D$4,$H19&lt;'설정'!$C$4),"",IF($L19="완료","완료",IF($M19="지연","지연",IF($M19="주의","주의",IF($J19&gt;0,"진행","계획")))))</f>
      </c>
      <c r="Q19" s="18" t="str">
        <f>IF(OR($G19&gt;'설정'!$D$5,$H19&lt;'설정'!$C$5),"",IF($L19="완료","완료",IF($M19="지연","지연",IF($M19="주의","주의",IF($J19&gt;0,"진행","계획")))))</f>
      </c>
      <c r="R19" s="18" t="str">
        <f>IF(OR($G19&gt;'설정'!$D$6,$H19&lt;'설정'!$C$6),"",IF($L19="완료","완료",IF($M19="지연","지연",IF($M19="주의","주의",IF($J19&gt;0,"진행","계획")))))</f>
      </c>
      <c r="S19" s="18" t="str">
        <f>IF(OR($G19&gt;'설정'!$D$7,$H19&lt;'설정'!$C$7),"",IF($L19="완료","완료",IF($M19="지연","지연",IF($M19="주의","주의",IF($J19&gt;0,"진행","계획")))))</f>
      </c>
      <c r="T19" s="18" t="str">
        <f>IF(OR($G19&gt;'설정'!$D$8,$H19&lt;'설정'!$C$8),"",IF($L19="완료","완료",IF($M19="지연","지연",IF($M19="주의","주의",IF($J19&gt;0,"진행","계획")))))</f>
        <v>계획</v>
      </c>
      <c r="U19" s="18" t="str">
        <f>IF(OR($G19&gt;'설정'!$D$9,$H19&lt;'설정'!$C$9),"",IF($L19="완료","완료",IF($M19="지연","지연",IF($M19="주의","주의",IF($J19&gt;0,"진행","계획")))))</f>
        <v>계획</v>
      </c>
      <c r="V19" s="18" t="str">
        <f>IF(OR($G19&gt;'설정'!$D$10,$H19&lt;'설정'!$C$10),"",IF($L19="완료","완료",IF($M19="지연","지연",IF($M19="주의","주의",IF($J19&gt;0,"진행","계획")))))</f>
        <v>계획</v>
      </c>
      <c r="W19" s="18" t="str">
        <f>IF(OR($G19&gt;'설정'!$D$11,$H19&lt;'설정'!$C$11),"",IF($L19="완료","완료",IF($M19="지연","지연",IF($M19="주의","주의",IF($J19&gt;0,"진행","계획")))))</f>
      </c>
    </row>
    <row r="20" ht="36" customHeight="1">
      <c r="A20" s="12" t="str">
        <v>WBS-019</v>
      </c>
      <c r="B20" s="12" t="str">
        <v>5번</v>
      </c>
      <c r="C20" s="12" t="str">
        <v>추천 콘텐츠</v>
      </c>
      <c r="D20" s="12" t="str">
        <v>장윤성</v>
      </c>
      <c r="E20" s="13" t="str">
        <v>content_recommendations basic 조회와 추천 콘텐츠 route ownership 정리</v>
      </c>
      <c r="F20" s="13" t="str">
        <v>추천 콘텐츠가 결제 범위가 아니라 커뮤니티/콘텐츠 확장으로 유지</v>
      </c>
      <c r="G20" s="14" t="n">
        <v>46211</v>
      </c>
      <c r="H20" s="14" t="n">
        <v>46221</v>
      </c>
      <c r="I20" s="15" t="n">
        <v>0</v>
      </c>
      <c r="J20" s="15" t="n">
        <v>0</v>
      </c>
      <c r="K20" s="15" t="n">
        <f>IF(LEN($J20&amp;"")=0,"",$J20)</f>
        <v>0</v>
      </c>
      <c r="L20" s="12" t="str">
        <f>IF(LEN($K20&amp;"")=0,"",IF($K20&gt;=1,"완료",IF($K20&gt;0,"진행","준비")))</f>
        <v>준비</v>
      </c>
      <c r="M20" s="12" t="str">
        <f>IF(OR(LEN($I20&amp;"")=0,LEN($J20&amp;"")=0),"",IF($J20&gt;=1,"정상",IF($J20&gt;=$I20,"정상",IF($I20-$J20&gt;0.1,"지연","주의"))))</f>
        <v>정상</v>
      </c>
      <c r="N20" s="16" t="str">
        <v>커뮤니티</v>
      </c>
      <c r="O20" s="18" t="str">
        <f>IF(OR($G20&gt;'설정'!$D$3,$H20&lt;'설정'!$C$3),"",IF($L20="완료","완료",IF($M20="지연","지연",IF($M20="주의","주의",IF($J20&gt;0,"진행","계획")))))</f>
      </c>
      <c r="P20" s="18" t="str">
        <f>IF(OR($G20&gt;'설정'!$D$4,$H20&lt;'설정'!$C$4),"",IF($L20="완료","완료",IF($M20="지연","지연",IF($M20="주의","주의",IF($J20&gt;0,"진행","계획")))))</f>
      </c>
      <c r="Q20" s="18" t="str">
        <f>IF(OR($G20&gt;'설정'!$D$5,$H20&lt;'설정'!$C$5),"",IF($L20="완료","완료",IF($M20="지연","지연",IF($M20="주의","주의",IF($J20&gt;0,"진행","계획")))))</f>
      </c>
      <c r="R20" s="18" t="str">
        <f>IF(OR($G20&gt;'설정'!$D$6,$H20&lt;'설정'!$C$6),"",IF($L20="완료","완료",IF($M20="지연","지연",IF($M20="주의","주의",IF($J20&gt;0,"진행","계획")))))</f>
      </c>
      <c r="S20" s="18" t="str">
        <f>IF(OR($G20&gt;'설정'!$D$7,$H20&lt;'설정'!$C$7),"",IF($L20="완료","완료",IF($M20="지연","지연",IF($M20="주의","주의",IF($J20&gt;0,"진행","계획")))))</f>
      </c>
      <c r="T20" s="18" t="str">
        <f>IF(OR($G20&gt;'설정'!$D$8,$H20&lt;'설정'!$C$8),"",IF($L20="완료","완료",IF($M20="지연","지연",IF($M20="주의","주의",IF($J20&gt;0,"진행","계획")))))</f>
      </c>
      <c r="U20" s="18" t="str">
        <f>IF(OR($G20&gt;'설정'!$D$9,$H20&lt;'설정'!$C$9),"",IF($L20="완료","완료",IF($M20="지연","지연",IF($M20="주의","주의",IF($J20&gt;0,"진행","계획")))))</f>
        <v>계획</v>
      </c>
      <c r="V20" s="18" t="str">
        <f>IF(OR($G20&gt;'설정'!$D$10,$H20&lt;'설정'!$C$10),"",IF($L20="완료","완료",IF($M20="지연","지연",IF($M20="주의","주의",IF($J20&gt;0,"진행","계획")))))</f>
        <v>계획</v>
      </c>
      <c r="W20" s="18" t="str">
        <f>IF(OR($G20&gt;'설정'!$D$11,$H20&lt;'설정'!$C$11),"",IF($L20="완료","완료",IF($M20="지연","지연",IF($M20="주의","주의",IF($J20&gt;0,"진행","계획")))))</f>
      </c>
    </row>
    <row r="21" ht="36" customHeight="1">
      <c r="A21" s="12" t="str">
        <v>WBS-020</v>
      </c>
      <c r="B21" s="12" t="str">
        <v>6번</v>
      </c>
      <c r="C21" s="12" t="str">
        <v>결제 / Premium</v>
      </c>
      <c r="D21" s="12" t="str">
        <v>박세인</v>
      </c>
      <c r="E21" s="13" t="str">
        <v>dummy payment, payment history, premium_grants 생성 흐름 구현</v>
      </c>
      <c r="F21" s="13" t="str">
        <v>실제 PG 없이 결제 성공 시 ACTIVE/LIFETIME grant 생성</v>
      </c>
      <c r="G21" s="14" t="n">
        <v>46206</v>
      </c>
      <c r="H21" s="14" t="n">
        <v>46219</v>
      </c>
      <c r="I21" s="15" t="n">
        <v>0</v>
      </c>
      <c r="J21" s="15" t="n">
        <v>0</v>
      </c>
      <c r="K21" s="15" t="n">
        <f>IF(LEN($J21&amp;"")=0,"",$J21)</f>
        <v>0</v>
      </c>
      <c r="L21" s="12" t="str">
        <f>IF(LEN($K21&amp;"")=0,"",IF($K21&gt;=1,"완료",IF($K21&gt;0,"진행","준비")))</f>
        <v>준비</v>
      </c>
      <c r="M21" s="12" t="str">
        <f>IF(OR(LEN($I21&amp;"")=0,LEN($J21&amp;"")=0),"",IF($J21&gt;=1,"정상",IF($J21&gt;=$I21,"정상",IF($I21-$J21&gt;0.1,"지연","주의"))))</f>
        <v>정상</v>
      </c>
      <c r="N21" s="16" t="str">
        <v>결제</v>
      </c>
      <c r="O21" s="18" t="str">
        <f>IF(OR($G21&gt;'설정'!$D$3,$H21&lt;'설정'!$C$3),"",IF($L21="완료","완료",IF($M21="지연","지연",IF($M21="주의","주의",IF($J21&gt;0,"진행","계획")))))</f>
      </c>
      <c r="P21" s="18" t="str">
        <f>IF(OR($G21&gt;'설정'!$D$4,$H21&lt;'설정'!$C$4),"",IF($L21="완료","완료",IF($M21="지연","지연",IF($M21="주의","주의",IF($J21&gt;0,"진행","계획")))))</f>
      </c>
      <c r="Q21" s="18" t="str">
        <f>IF(OR($G21&gt;'설정'!$D$5,$H21&lt;'설정'!$C$5),"",IF($L21="완료","완료",IF($M21="지연","지연",IF($M21="주의","주의",IF($J21&gt;0,"진행","계획")))))</f>
      </c>
      <c r="R21" s="18" t="str">
        <f>IF(OR($G21&gt;'설정'!$D$6,$H21&lt;'설정'!$C$6),"",IF($L21="완료","완료",IF($M21="지연","지연",IF($M21="주의","주의",IF($J21&gt;0,"진행","계획")))))</f>
      </c>
      <c r="S21" s="18" t="str">
        <f>IF(OR($G21&gt;'설정'!$D$7,$H21&lt;'설정'!$C$7),"",IF($L21="완료","완료",IF($M21="지연","지연",IF($M21="주의","주의",IF($J21&gt;0,"진행","계획")))))</f>
      </c>
      <c r="T21" s="18" t="str">
        <f>IF(OR($G21&gt;'설정'!$D$8,$H21&lt;'설정'!$C$8),"",IF($L21="완료","완료",IF($M21="지연","지연",IF($M21="주의","주의",IF($J21&gt;0,"진행","계획")))))</f>
        <v>계획</v>
      </c>
      <c r="U21" s="18" t="str">
        <f>IF(OR($G21&gt;'설정'!$D$9,$H21&lt;'설정'!$C$9),"",IF($L21="완료","완료",IF($M21="지연","지연",IF($M21="주의","주의",IF($J21&gt;0,"진행","계획")))))</f>
        <v>계획</v>
      </c>
      <c r="V21" s="18" t="str">
        <f>IF(OR($G21&gt;'설정'!$D$10,$H21&lt;'설정'!$C$10),"",IF($L21="완료","완료",IF($M21="지연","지연",IF($M21="주의","주의",IF($J21&gt;0,"진행","계획")))))</f>
        <v>계획</v>
      </c>
      <c r="W21" s="18" t="str">
        <f>IF(OR($G21&gt;'설정'!$D$11,$H21&lt;'설정'!$C$11),"",IF($L21="완료","완료",IF($M21="지연","지연",IF($M21="주의","주의",IF($J21&gt;0,"진행","계획")))))</f>
      </c>
    </row>
    <row r="22" ht="36" customHeight="1">
      <c r="A22" s="12" t="str">
        <v>WBS-021</v>
      </c>
      <c r="B22" s="12" t="str">
        <v>6번</v>
      </c>
      <c r="C22" s="12" t="str">
        <v>Premium access</v>
      </c>
      <c r="D22" s="12" t="str">
        <v>박세인</v>
      </c>
      <c r="E22" s="13" t="str">
        <v>PaymentAccessService로 Premium 기능 접근 가능 여부 판정</v>
      </c>
      <c r="F22" s="13" t="str">
        <v>Premium 전용 role 없이 grant/status로 접근 제어</v>
      </c>
      <c r="G22" s="14" t="n">
        <v>46209</v>
      </c>
      <c r="H22" s="14" t="n">
        <v>46220</v>
      </c>
      <c r="I22" s="15" t="n">
        <v>0</v>
      </c>
      <c r="J22" s="15" t="n">
        <v>0</v>
      </c>
      <c r="K22" s="15" t="n">
        <f>IF(LEN($J22&amp;"")=0,"",$J22)</f>
        <v>0</v>
      </c>
      <c r="L22" s="12" t="str">
        <f>IF(LEN($K22&amp;"")=0,"",IF($K22&gt;=1,"완료",IF($K22&gt;0,"진행","준비")))</f>
        <v>준비</v>
      </c>
      <c r="M22" s="12" t="str">
        <f>IF(OR(LEN($I22&amp;"")=0,LEN($J22&amp;"")=0),"",IF($J22&gt;=1,"정상",IF($J22&gt;=$I22,"정상",IF($I22-$J22&gt;0.1,"지연","주의"))))</f>
        <v>정상</v>
      </c>
      <c r="N22" s="16" t="str">
        <v>결제</v>
      </c>
      <c r="O22" s="18" t="str">
        <f>IF(OR($G22&gt;'설정'!$D$3,$H22&lt;'설정'!$C$3),"",IF($L22="완료","완료",IF($M22="지연","지연",IF($M22="주의","주의",IF($J22&gt;0,"진행","계획")))))</f>
      </c>
      <c r="P22" s="18" t="str">
        <f>IF(OR($G22&gt;'설정'!$D$4,$H22&lt;'설정'!$C$4),"",IF($L22="완료","완료",IF($M22="지연","지연",IF($M22="주의","주의",IF($J22&gt;0,"진행","계획")))))</f>
      </c>
      <c r="Q22" s="18" t="str">
        <f>IF(OR($G22&gt;'설정'!$D$5,$H22&lt;'설정'!$C$5),"",IF($L22="완료","완료",IF($M22="지연","지연",IF($M22="주의","주의",IF($J22&gt;0,"진행","계획")))))</f>
      </c>
      <c r="R22" s="18" t="str">
        <f>IF(OR($G22&gt;'설정'!$D$6,$H22&lt;'설정'!$C$6),"",IF($L22="완료","완료",IF($M22="지연","지연",IF($M22="주의","주의",IF($J22&gt;0,"진행","계획")))))</f>
      </c>
      <c r="S22" s="18" t="str">
        <f>IF(OR($G22&gt;'설정'!$D$7,$H22&lt;'설정'!$C$7),"",IF($L22="완료","완료",IF($M22="지연","지연",IF($M22="주의","주의",IF($J22&gt;0,"진행","계획")))))</f>
      </c>
      <c r="T22" s="18" t="str">
        <f>IF(OR($G22&gt;'설정'!$D$8,$H22&lt;'설정'!$C$8),"",IF($L22="완료","완료",IF($M22="지연","지연",IF($M22="주의","주의",IF($J22&gt;0,"진행","계획")))))</f>
      </c>
      <c r="U22" s="18" t="str">
        <f>IF(OR($G22&gt;'설정'!$D$9,$H22&lt;'설정'!$C$9),"",IF($L22="완료","완료",IF($M22="지연","지연",IF($M22="주의","주의",IF($J22&gt;0,"진행","계획")))))</f>
        <v>계획</v>
      </c>
      <c r="V22" s="18" t="str">
        <f>IF(OR($G22&gt;'설정'!$D$10,$H22&lt;'설정'!$C$10),"",IF($L22="완료","완료",IF($M22="지연","지연",IF($M22="주의","주의",IF($J22&gt;0,"진행","계획")))))</f>
        <v>계획</v>
      </c>
      <c r="W22" s="18" t="str">
        <f>IF(OR($G22&gt;'설정'!$D$11,$H22&lt;'설정'!$C$11),"",IF($L22="완료","완료",IF($M22="지연","지연",IF($M22="주의","주의",IF($J22&gt;0,"진행","계획")))))</f>
      </c>
    </row>
    <row r="23" ht="36" customHeight="1">
      <c r="A23" s="12" t="str">
        <v>WBS-022</v>
      </c>
      <c r="B23" s="12" t="str">
        <v>6번</v>
      </c>
      <c r="C23" s="12" t="str">
        <v>마이페이지 / 설정</v>
      </c>
      <c r="D23" s="12" t="str">
        <v>박세인</v>
      </c>
      <c r="E23" s="13" t="str">
        <v>mypage, profile, security, social, system, payment, withdraw 화면/기능 구현</v>
      </c>
      <c r="F23" s="13" t="str">
        <v>SR-012, SR-015 화면이 API/MVC 명세와 연결</v>
      </c>
      <c r="G23" s="14" t="n">
        <v>46211</v>
      </c>
      <c r="H23" s="14" t="n">
        <v>46223</v>
      </c>
      <c r="I23" s="15" t="n">
        <v>0</v>
      </c>
      <c r="J23" s="15" t="n">
        <v>0</v>
      </c>
      <c r="K23" s="15" t="n">
        <f>IF(LEN($J23&amp;"")=0,"",$J23)</f>
        <v>0</v>
      </c>
      <c r="L23" s="12" t="str">
        <f>IF(LEN($K23&amp;"")=0,"",IF($K23&gt;=1,"완료",IF($K23&gt;0,"진행","준비")))</f>
        <v>준비</v>
      </c>
      <c r="M23" s="12" t="str">
        <f>IF(OR(LEN($I23&amp;"")=0,LEN($J23&amp;"")=0),"",IF($J23&gt;=1,"정상",IF($J23&gt;=$I23,"정상",IF($I23-$J23&gt;0.1,"지연","주의"))))</f>
        <v>정상</v>
      </c>
      <c r="N23" s="16" t="str">
        <v>사용자</v>
      </c>
      <c r="O23" s="18" t="str">
        <f>IF(OR($G23&gt;'설정'!$D$3,$H23&lt;'설정'!$C$3),"",IF($L23="완료","완료",IF($M23="지연","지연",IF($M23="주의","주의",IF($J23&gt;0,"진행","계획")))))</f>
      </c>
      <c r="P23" s="18" t="str">
        <f>IF(OR($G23&gt;'설정'!$D$4,$H23&lt;'설정'!$C$4),"",IF($L23="완료","완료",IF($M23="지연","지연",IF($M23="주의","주의",IF($J23&gt;0,"진행","계획")))))</f>
      </c>
      <c r="Q23" s="18" t="str">
        <f>IF(OR($G23&gt;'설정'!$D$5,$H23&lt;'설정'!$C$5),"",IF($L23="완료","완료",IF($M23="지연","지연",IF($M23="주의","주의",IF($J23&gt;0,"진행","계획")))))</f>
      </c>
      <c r="R23" s="18" t="str">
        <f>IF(OR($G23&gt;'설정'!$D$6,$H23&lt;'설정'!$C$6),"",IF($L23="완료","완료",IF($M23="지연","지연",IF($M23="주의","주의",IF($J23&gt;0,"진행","계획")))))</f>
      </c>
      <c r="S23" s="18" t="str">
        <f>IF(OR($G23&gt;'설정'!$D$7,$H23&lt;'설정'!$C$7),"",IF($L23="완료","완료",IF($M23="지연","지연",IF($M23="주의","주의",IF($J23&gt;0,"진행","계획")))))</f>
      </c>
      <c r="T23" s="18" t="str">
        <f>IF(OR($G23&gt;'설정'!$D$8,$H23&lt;'설정'!$C$8),"",IF($L23="완료","완료",IF($M23="지연","지연",IF($M23="주의","주의",IF($J23&gt;0,"진행","계획")))))</f>
      </c>
      <c r="U23" s="18" t="str">
        <f>IF(OR($G23&gt;'설정'!$D$9,$H23&lt;'설정'!$C$9),"",IF($L23="완료","완료",IF($M23="지연","지연",IF($M23="주의","주의",IF($J23&gt;0,"진행","계획")))))</f>
        <v>계획</v>
      </c>
      <c r="V23" s="18" t="str">
        <f>IF(OR($G23&gt;'설정'!$D$10,$H23&lt;'설정'!$C$10),"",IF($L23="완료","완료",IF($M23="지연","지연",IF($M23="주의","주의",IF($J23&gt;0,"진행","계획")))))</f>
        <v>계획</v>
      </c>
      <c r="W23" s="18" t="str">
        <f>IF(OR($G23&gt;'설정'!$D$11,$H23&lt;'설정'!$C$11),"",IF($L23="완료","완료",IF($M23="지연","지연",IF($M23="주의","주의",IF($J23&gt;0,"진행","계획")))))</f>
        <v>계획</v>
      </c>
    </row>
    <row r="24" ht="36" customHeight="1">
      <c r="A24" s="12" t="str">
        <v>WBS-023</v>
      </c>
      <c r="B24" s="12" t="str">
        <v>7번</v>
      </c>
      <c r="C24" s="12" t="str">
        <v>관리자</v>
      </c>
      <c r="D24" s="12" t="str">
        <v>송주창</v>
      </c>
      <c r="E24" s="13" t="str">
        <v>admin dashboard, 사용자/콘텐츠/커뮤니티/신고/공지 관리 화면 구현</v>
      </c>
      <c r="F24" s="13" t="str">
        <v>ROLE_ADMIN guard로 /admin/** 접근 제어</v>
      </c>
      <c r="G24" s="14" t="n">
        <v>46211</v>
      </c>
      <c r="H24" s="14" t="n">
        <v>46223</v>
      </c>
      <c r="I24" s="15" t="n">
        <v>0</v>
      </c>
      <c r="J24" s="15" t="n">
        <v>0</v>
      </c>
      <c r="K24" s="15" t="n">
        <f>IF(LEN($J24&amp;"")=0,"",$J24)</f>
        <v>0</v>
      </c>
      <c r="L24" s="12" t="str">
        <f>IF(LEN($K24&amp;"")=0,"",IF($K24&gt;=1,"완료",IF($K24&gt;0,"진행","준비")))</f>
        <v>준비</v>
      </c>
      <c r="M24" s="12" t="str">
        <f>IF(OR(LEN($I24&amp;"")=0,LEN($J24&amp;"")=0),"",IF($J24&gt;=1,"정상",IF($J24&gt;=$I24,"정상",IF($I24-$J24&gt;0.1,"지연","주의"))))</f>
        <v>정상</v>
      </c>
      <c r="N24" s="16" t="str">
        <v>관리자</v>
      </c>
      <c r="O24" s="18" t="str">
        <f>IF(OR($G24&gt;'설정'!$D$3,$H24&lt;'설정'!$C$3),"",IF($L24="완료","완료",IF($M24="지연","지연",IF($M24="주의","주의",IF($J24&gt;0,"진행","계획")))))</f>
      </c>
      <c r="P24" s="18" t="str">
        <f>IF(OR($G24&gt;'설정'!$D$4,$H24&lt;'설정'!$C$4),"",IF($L24="완료","완료",IF($M24="지연","지연",IF($M24="주의","주의",IF($J24&gt;0,"진행","계획")))))</f>
      </c>
      <c r="Q24" s="18" t="str">
        <f>IF(OR($G24&gt;'설정'!$D$5,$H24&lt;'설정'!$C$5),"",IF($L24="완료","완료",IF($M24="지연","지연",IF($M24="주의","주의",IF($J24&gt;0,"진행","계획")))))</f>
      </c>
      <c r="R24" s="18" t="str">
        <f>IF(OR($G24&gt;'설정'!$D$6,$H24&lt;'설정'!$C$6),"",IF($L24="완료","완료",IF($M24="지연","지연",IF($M24="주의","주의",IF($J24&gt;0,"진행","계획")))))</f>
      </c>
      <c r="S24" s="18" t="str">
        <f>IF(OR($G24&gt;'설정'!$D$7,$H24&lt;'설정'!$C$7),"",IF($L24="완료","완료",IF($M24="지연","지연",IF($M24="주의","주의",IF($J24&gt;0,"진행","계획")))))</f>
      </c>
      <c r="T24" s="18" t="str">
        <f>IF(OR($G24&gt;'설정'!$D$8,$H24&lt;'설정'!$C$8),"",IF($L24="완료","완료",IF($M24="지연","지연",IF($M24="주의","주의",IF($J24&gt;0,"진행","계획")))))</f>
      </c>
      <c r="U24" s="18" t="str">
        <f>IF(OR($G24&gt;'설정'!$D$9,$H24&lt;'설정'!$C$9),"",IF($L24="완료","완료",IF($M24="지연","지연",IF($M24="주의","주의",IF($J24&gt;0,"진행","계획")))))</f>
        <v>계획</v>
      </c>
      <c r="V24" s="18" t="str">
        <f>IF(OR($G24&gt;'설정'!$D$10,$H24&lt;'설정'!$C$10),"",IF($L24="완료","완료",IF($M24="지연","지연",IF($M24="주의","주의",IF($J24&gt;0,"진행","계획")))))</f>
        <v>계획</v>
      </c>
      <c r="W24" s="18" t="str">
        <f>IF(OR($G24&gt;'설정'!$D$11,$H24&lt;'설정'!$C$11),"",IF($L24="완료","완료",IF($M24="지연","지연",IF($M24="주의","주의",IF($J24&gt;0,"진행","계획")))))</f>
        <v>계획</v>
      </c>
    </row>
    <row r="25" ht="36" customHeight="1">
      <c r="A25" s="12" t="str">
        <v>WBS-024</v>
      </c>
      <c r="B25" s="12" t="str">
        <v>7번</v>
      </c>
      <c r="C25" s="12" t="str">
        <v>Admin operation log</v>
      </c>
      <c r="D25" s="12" t="str">
        <v>송주창</v>
      </c>
      <c r="E25" s="13" t="str">
        <v>관리자 상태 변경, 신고 처리, 공지 변경 시 admin_operation_logs 기록</v>
      </c>
      <c r="F25" s="13" t="str">
        <v>관리자 변경 action마다 audit log 기록</v>
      </c>
      <c r="G25" s="14" t="n">
        <v>46213</v>
      </c>
      <c r="H25" s="14" t="n">
        <v>46224</v>
      </c>
      <c r="I25" s="15" t="n">
        <v>0</v>
      </c>
      <c r="J25" s="15" t="n">
        <v>0</v>
      </c>
      <c r="K25" s="15" t="n">
        <f>IF(LEN($J25&amp;"")=0,"",$J25)</f>
        <v>0</v>
      </c>
      <c r="L25" s="12" t="str">
        <f>IF(LEN($K25&amp;"")=0,"",IF($K25&gt;=1,"완료",IF($K25&gt;0,"진행","준비")))</f>
        <v>준비</v>
      </c>
      <c r="M25" s="12" t="str">
        <f>IF(OR(LEN($I25&amp;"")=0,LEN($J25&amp;"")=0),"",IF($J25&gt;=1,"정상",IF($J25&gt;=$I25,"정상",IF($I25-$J25&gt;0.1,"지연","주의"))))</f>
        <v>정상</v>
      </c>
      <c r="N25" s="16" t="str">
        <v>관리자</v>
      </c>
      <c r="O25" s="18" t="str">
        <f>IF(OR($G25&gt;'설정'!$D$3,$H25&lt;'설정'!$C$3),"",IF($L25="완료","완료",IF($M25="지연","지연",IF($M25="주의","주의",IF($J25&gt;0,"진행","계획")))))</f>
      </c>
      <c r="P25" s="18" t="str">
        <f>IF(OR($G25&gt;'설정'!$D$4,$H25&lt;'설정'!$C$4),"",IF($L25="완료","완료",IF($M25="지연","지연",IF($M25="주의","주의",IF($J25&gt;0,"진행","계획")))))</f>
      </c>
      <c r="Q25" s="18" t="str">
        <f>IF(OR($G25&gt;'설정'!$D$5,$H25&lt;'설정'!$C$5),"",IF($L25="완료","완료",IF($M25="지연","지연",IF($M25="주의","주의",IF($J25&gt;0,"진행","계획")))))</f>
      </c>
      <c r="R25" s="18" t="str">
        <f>IF(OR($G25&gt;'설정'!$D$6,$H25&lt;'설정'!$C$6),"",IF($L25="완료","완료",IF($M25="지연","지연",IF($M25="주의","주의",IF($J25&gt;0,"진행","계획")))))</f>
      </c>
      <c r="S25" s="18" t="str">
        <f>IF(OR($G25&gt;'설정'!$D$7,$H25&lt;'설정'!$C$7),"",IF($L25="완료","완료",IF($M25="지연","지연",IF($M25="주의","주의",IF($J25&gt;0,"진행","계획")))))</f>
      </c>
      <c r="T25" s="18" t="str">
        <f>IF(OR($G25&gt;'설정'!$D$8,$H25&lt;'설정'!$C$8),"",IF($L25="완료","완료",IF($M25="지연","지연",IF($M25="주의","주의",IF($J25&gt;0,"진행","계획")))))</f>
      </c>
      <c r="U25" s="18" t="str">
        <f>IF(OR($G25&gt;'설정'!$D$9,$H25&lt;'설정'!$C$9),"",IF($L25="완료","완료",IF($M25="지연","지연",IF($M25="주의","주의",IF($J25&gt;0,"진행","계획")))))</f>
        <v>계획</v>
      </c>
      <c r="V25" s="18" t="str">
        <f>IF(OR($G25&gt;'설정'!$D$10,$H25&lt;'설정'!$C$10),"",IF($L25="완료","완료",IF($M25="지연","지연",IF($M25="주의","주의",IF($J25&gt;0,"진행","계획")))))</f>
        <v>계획</v>
      </c>
      <c r="W25" s="18" t="str">
        <f>IF(OR($G25&gt;'설정'!$D$11,$H25&lt;'설정'!$C$11),"",IF($L25="완료","완료",IF($M25="지연","지연",IF($M25="주의","주의",IF($J25&gt;0,"진행","계획")))))</f>
        <v>계획</v>
      </c>
    </row>
    <row r="26" ht="36" customHeight="1">
      <c r="A26" s="12" t="str">
        <v>WBS-025</v>
      </c>
      <c r="B26" s="12" t="str">
        <v>7번</v>
      </c>
      <c r="C26" s="12" t="str">
        <v>통합 smoke</v>
      </c>
      <c r="D26" s="12" t="str">
        <v>송주창</v>
      </c>
      <c r="E26" s="13" t="str">
        <v>주요 route/API, Mapper XML namespace, template resolve 통합 점검</v>
      </c>
      <c r="F26" s="13" t="str">
        <v>bootRun/test 결과와 주요 화면/API smoke 결과 공유</v>
      </c>
      <c r="G26" s="14" t="n">
        <v>46221</v>
      </c>
      <c r="H26" s="14" t="n">
        <v>46227</v>
      </c>
      <c r="I26" s="15" t="n">
        <v>0</v>
      </c>
      <c r="J26" s="15" t="n">
        <v>0</v>
      </c>
      <c r="K26" s="15" t="n">
        <f>IF(LEN($J26&amp;"")=0,"",$J26)</f>
        <v>0</v>
      </c>
      <c r="L26" s="12" t="str">
        <f>IF(LEN($K26&amp;"")=0,"",IF($K26&gt;=1,"완료",IF($K26&gt;0,"진행","준비")))</f>
        <v>준비</v>
      </c>
      <c r="M26" s="12" t="str">
        <f>IF(OR(LEN($I26&amp;"")=0,LEN($J26&amp;"")=0),"",IF($J26&gt;=1,"정상",IF($J26&gt;=$I26,"정상",IF($I26-$J26&gt;0.1,"지연","주의"))))</f>
        <v>정상</v>
      </c>
      <c r="N26" s="16" t="str">
        <v>검증</v>
      </c>
      <c r="O26" s="18" t="str">
        <f>IF(OR($G26&gt;'설정'!$D$3,$H26&lt;'설정'!$C$3),"",IF($L26="완료","완료",IF($M26="지연","지연",IF($M26="주의","주의",IF($J26&gt;0,"진행","계획")))))</f>
      </c>
      <c r="P26" s="18" t="str">
        <f>IF(OR($G26&gt;'설정'!$D$4,$H26&lt;'설정'!$C$4),"",IF($L26="완료","완료",IF($M26="지연","지연",IF($M26="주의","주의",IF($J26&gt;0,"진행","계획")))))</f>
      </c>
      <c r="Q26" s="18" t="str">
        <f>IF(OR($G26&gt;'설정'!$D$5,$H26&lt;'설정'!$C$5),"",IF($L26="완료","완료",IF($M26="지연","지연",IF($M26="주의","주의",IF($J26&gt;0,"진행","계획")))))</f>
      </c>
      <c r="R26" s="18" t="str">
        <f>IF(OR($G26&gt;'설정'!$D$6,$H26&lt;'설정'!$C$6),"",IF($L26="완료","완료",IF($M26="지연","지연",IF($M26="주의","주의",IF($J26&gt;0,"진행","계획")))))</f>
      </c>
      <c r="S26" s="18" t="str">
        <f>IF(OR($G26&gt;'설정'!$D$7,$H26&lt;'설정'!$C$7),"",IF($L26="완료","완료",IF($M26="지연","지연",IF($M26="주의","주의",IF($J26&gt;0,"진행","계획")))))</f>
      </c>
      <c r="T26" s="18" t="str">
        <f>IF(OR($G26&gt;'설정'!$D$8,$H26&lt;'설정'!$C$8),"",IF($L26="완료","완료",IF($M26="지연","지연",IF($M26="주의","주의",IF($J26&gt;0,"진행","계획")))))</f>
      </c>
      <c r="U26" s="18" t="str">
        <f>IF(OR($G26&gt;'설정'!$D$9,$H26&lt;'설정'!$C$9),"",IF($L26="완료","완료",IF($M26="지연","지연",IF($M26="주의","주의",IF($J26&gt;0,"진행","계획")))))</f>
      </c>
      <c r="V26" s="18" t="str">
        <f>IF(OR($G26&gt;'설정'!$D$10,$H26&lt;'설정'!$C$10),"",IF($L26="완료","완료",IF($M26="지연","지연",IF($M26="주의","주의",IF($J26&gt;0,"진행","계획")))))</f>
        <v>계획</v>
      </c>
      <c r="W26" s="18" t="str">
        <f>IF(OR($G26&gt;'설정'!$D$11,$H26&lt;'설정'!$C$11),"",IF($L26="완료","완료",IF($M26="지연","지연",IF($M26="주의","주의",IF($J26&gt;0,"진행","계획")))))</f>
        <v>계획</v>
      </c>
    </row>
    <row r="27" ht="36" customHeight="1">
      <c r="A27" s="12" t="str">
        <v>WBS-026</v>
      </c>
      <c r="B27" s="12" t="str">
        <v>전체</v>
      </c>
      <c r="C27" s="12" t="str">
        <v>화면 / 발표 / 제출 검수</v>
      </c>
      <c r="D27" s="12" t="str">
        <v>전체</v>
      </c>
      <c r="E27" s="13" t="str">
        <v>최종 화면정의서, 발표 요약 PPT, 최종 문서 정책 문구와 화면 흐름 확인</v>
      </c>
      <c r="F27" s="13" t="str">
        <v>Word, Excel, PPT, PDF가 열리고 주요 정책 문구 일치</v>
      </c>
      <c r="G27" s="14" t="n">
        <v>46224</v>
      </c>
      <c r="H27" s="14" t="n">
        <v>46230</v>
      </c>
      <c r="I27" s="15" t="n">
        <v>0</v>
      </c>
      <c r="J27" s="15" t="n">
        <v>0</v>
      </c>
      <c r="K27" s="15" t="n">
        <f>IF(LEN($J27&amp;"")=0,"",$J27)</f>
        <v>0</v>
      </c>
      <c r="L27" s="12" t="str">
        <f>IF(LEN($K27&amp;"")=0,"",IF($K27&gt;=1,"완료",IF($K27&gt;0,"진행","준비")))</f>
        <v>준비</v>
      </c>
      <c r="M27" s="12" t="str">
        <f>IF(OR(LEN($I27&amp;"")=0,LEN($J27&amp;"")=0),"",IF($J27&gt;=1,"정상",IF($J27&gt;=$I27,"정상",IF($I27-$J27&gt;0.1,"지연","주의"))))</f>
        <v>정상</v>
      </c>
      <c r="N27" s="16" t="str">
        <v>검수</v>
      </c>
      <c r="O27" s="18" t="str">
        <f>IF(OR($G27&gt;'설정'!$D$3,$H27&lt;'설정'!$C$3),"",IF($L27="완료","완료",IF($M27="지연","지연",IF($M27="주의","주의",IF($J27&gt;0,"진행","계획")))))</f>
      </c>
      <c r="P27" s="18" t="str">
        <f>IF(OR($G27&gt;'설정'!$D$4,$H27&lt;'설정'!$C$4),"",IF($L27="완료","완료",IF($M27="지연","지연",IF($M27="주의","주의",IF($J27&gt;0,"진행","계획")))))</f>
      </c>
      <c r="Q27" s="18" t="str">
        <f>IF(OR($G27&gt;'설정'!$D$5,$H27&lt;'설정'!$C$5),"",IF($L27="완료","완료",IF($M27="지연","지연",IF($M27="주의","주의",IF($J27&gt;0,"진행","계획")))))</f>
      </c>
      <c r="R27" s="18" t="str">
        <f>IF(OR($G27&gt;'설정'!$D$6,$H27&lt;'설정'!$C$6),"",IF($L27="완료","완료",IF($M27="지연","지연",IF($M27="주의","주의",IF($J27&gt;0,"진행","계획")))))</f>
      </c>
      <c r="S27" s="18" t="str">
        <f>IF(OR($G27&gt;'설정'!$D$7,$H27&lt;'설정'!$C$7),"",IF($L27="완료","완료",IF($M27="지연","지연",IF($M27="주의","주의",IF($J27&gt;0,"진행","계획")))))</f>
      </c>
      <c r="T27" s="18" t="str">
        <f>IF(OR($G27&gt;'설정'!$D$8,$H27&lt;'설정'!$C$8),"",IF($L27="완료","완료",IF($M27="지연","지연",IF($M27="주의","주의",IF($J27&gt;0,"진행","계획")))))</f>
      </c>
      <c r="U27" s="18" t="str">
        <f>IF(OR($G27&gt;'설정'!$D$9,$H27&lt;'설정'!$C$9),"",IF($L27="완료","완료",IF($M27="지연","지연",IF($M27="주의","주의",IF($J27&gt;0,"진행","계획")))))</f>
      </c>
      <c r="V27" s="18" t="str">
        <f>IF(OR($G27&gt;'설정'!$D$10,$H27&lt;'설정'!$C$10),"",IF($L27="완료","완료",IF($M27="지연","지연",IF($M27="주의","주의",IF($J27&gt;0,"진행","계획")))))</f>
      </c>
      <c r="W27" s="18" t="str">
        <f>IF(OR($G27&gt;'설정'!$D$11,$H27&lt;'설정'!$C$11),"",IF($L27="완료","완료",IF($M27="지연","지연",IF($M27="주의","주의",IF($J27&gt;0,"진행","계획")))))</f>
        <v>계획</v>
      </c>
    </row>
  </sheetData>
  <conditionalFormatting sqref="M2:M27">
    <cfRule type="cellIs" operator="equal" dxfId="0" priority="1">
      <formula>"정상"</formula>
    </cfRule>
    <cfRule type="cellIs" operator="equal" dxfId="1" priority="2">
      <formula>"주의"</formula>
    </cfRule>
    <cfRule type="cellIs" operator="equal" dxfId="2" priority="3">
      <formula>"지연"</formula>
    </cfRule>
  </conditionalFormatting>
  <conditionalFormatting sqref="O2:W27">
    <cfRule type="cellIs" operator="equal" dxfId="3" priority="4">
      <formula>"완료"</formula>
    </cfRule>
    <cfRule type="cellIs" operator="equal" dxfId="4" priority="5">
      <formula>"진행"</formula>
    </cfRule>
    <cfRule type="cellIs" operator="equal" dxfId="5" priority="6">
      <formula>"계획"</formula>
    </cfRule>
    <cfRule type="cellIs" operator="equal" dxfId="6" priority="7">
      <formula>"주의"</formula>
    </cfRule>
    <cfRule type="cellIs" operator="equal" dxfId="7" priority="8">
      <formula>"지연"</formula>
    </cfRule>
  </conditionalFormatting>
  <dataValidations count="1">
    <dataValidation type="decimal" operator="between" sqref="I2:J27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19" t="str">
        <x:v>Knowva WBS 설정</x:v>
      </x:c>
      <x:c r="B1" s="19"/>
      <x:c r="C1" s="19"/>
      <x:c r="D1" s="19"/>
    </x:row>
    <x:row r="3">
      <x:c r="A3" s="21" t="str">
        <x:v>월</x:v>
      </x:c>
      <x:c r="B3" s="21" t="str">
        <x:v>주차</x:v>
      </x:c>
      <x:c r="C3" s="21" t="str">
        <x:v>시작일</x:v>
      </x:c>
      <x:c r="D3" s="21" t="str">
        <x:v>종료일</x:v>
      </x:c>
    </x:row>
    <x:row r="4">
      <x:c r="A4" s="22" t="str">
        <x:v>2026년 6월</x:v>
      </x:c>
      <x:c r="B4" s="22" t="str">
        <x:v>6월 2주</x:v>
      </x:c>
      <x:c r="C4" s="23" t="n">
        <x:v>46181</x:v>
      </x:c>
      <x:c r="D4" s="23" t="n">
        <x:v>46187</x:v>
      </x:c>
    </x:row>
    <x:row r="5">
      <x:c r="A5" s="22" t="str">
        <x:v>2026년 6월</x:v>
      </x:c>
      <x:c r="B5" s="22" t="str">
        <x:v>6월 3주</x:v>
      </x:c>
      <x:c r="C5" s="23" t="n">
        <x:v>46188</x:v>
      </x:c>
      <x:c r="D5" s="23" t="n">
        <x:v>46194</x:v>
      </x:c>
    </x:row>
    <x:row r="6">
      <x:c r="A6" s="22" t="str">
        <x:v>2026년 6월</x:v>
      </x:c>
      <x:c r="B6" s="22" t="str">
        <x:v>6월 4주</x:v>
      </x:c>
      <x:c r="C6" s="23" t="n">
        <x:v>46195</x:v>
      </x:c>
      <x:c r="D6" s="23" t="n">
        <x:v>46201</x:v>
      </x:c>
    </x:row>
    <x:row r="7">
      <x:c r="A7" s="22" t="str">
        <x:v>2026년 6월</x:v>
      </x:c>
      <x:c r="B7" s="22" t="str">
        <x:v>6월 5주</x:v>
      </x:c>
      <x:c r="C7" s="23" t="n">
        <x:v>46202</x:v>
      </x:c>
      <x:c r="D7" s="23" t="n">
        <x:v>46203</x:v>
      </x:c>
    </x:row>
    <x:row r="8">
      <x:c r="A8" s="22" t="str">
        <x:v>2026년 7월</x:v>
      </x:c>
      <x:c r="B8" s="22" t="str">
        <x:v>7월 1주</x:v>
      </x:c>
      <x:c r="C8" s="23" t="n">
        <x:v>46204</x:v>
      </x:c>
      <x:c r="D8" s="23" t="n">
        <x:v>46208</x:v>
      </x:c>
    </x:row>
    <x:row r="9">
      <x:c r="A9" s="22" t="str">
        <x:v>2026년 7월</x:v>
      </x:c>
      <x:c r="B9" s="22" t="str">
        <x:v>7월 2주</x:v>
      </x:c>
      <x:c r="C9" s="23" t="n">
        <x:v>46209</x:v>
      </x:c>
      <x:c r="D9" s="23" t="n">
        <x:v>46215</x:v>
      </x:c>
    </x:row>
    <x:row r="10">
      <x:c r="A10" s="22" t="str">
        <x:v>2026년 7월</x:v>
      </x:c>
      <x:c r="B10" s="22" t="str">
        <x:v>7월 3주</x:v>
      </x:c>
      <x:c r="C10" s="23" t="n">
        <x:v>46216</x:v>
      </x:c>
      <x:c r="D10" s="23" t="n">
        <x:v>46222</x:v>
      </x:c>
    </x:row>
    <x:row r="11">
      <x:c r="A11" s="22" t="str">
        <x:v>2026년 7월</x:v>
      </x:c>
      <x:c r="B11" s="22" t="str">
        <x:v>7월 4주</x:v>
      </x:c>
      <x:c r="C11" s="23" t="n">
        <x:v>46223</x:v>
      </x:c>
      <x:c r="D11" s="23" t="n">
        <x:v>46229</x:v>
      </x:c>
    </x:row>
    <x:row r="12">
      <x:c r="A12" s="22" t="str">
        <x:v>2026년 7월</x:v>
      </x:c>
      <x:c r="B12" s="22" t="str">
        <x:v>7월 5주</x:v>
      </x:c>
      <x:c r="C12" s="23" t="n">
        <x:v>46230</x:v>
      </x:c>
      <x:c r="D12" s="23" t="n">
        <x:v>46234</x:v>
      </x:c>
    </x:row>
    <x:row r="15">
      <x:c r="A15" s="21" t="str">
        <x:v>입력/자동</x:v>
      </x:c>
      <x:c r="B15" s="21" t="str">
        <x:v>대상</x:v>
      </x:c>
      <x:c r="C15" s="21" t="str">
        <x:v>설명</x:v>
      </x:c>
      <x:c r="D15" s="21" t="str">
        <x:v>비고</x:v>
      </x:c>
    </x:row>
    <x:row r="16">
      <x:c r="A16" s="22" t="str">
        <x:v>입력</x:v>
      </x:c>
      <x:c r="B16" s="22" t="str">
        <x:v>계획(%)</x:v>
      </x:c>
      <x:c r="C16" s="22" t="str">
        <x:v>일정 기준 목표 진행률</x:v>
      </x:c>
      <x:c r="D16" s="22" t="str">
        <x:v>0%~100%</x:v>
      </x:c>
    </x:row>
    <x:row r="17">
      <x:c r="A17" s="22" t="str">
        <x:v>입력</x:v>
      </x:c>
      <x:c r="B17" s="22" t="str">
        <x:v>실적(%)</x:v>
      </x:c>
      <x:c r="C17" s="22" t="str">
        <x:v>실제 진행률</x:v>
      </x:c>
      <x:c r="D17" s="22" t="str">
        <x:v>0%~100%</x:v>
      </x:c>
    </x:row>
    <x:row r="18">
      <x:c r="A18" s="22" t="str">
        <x:v>자동</x:v>
      </x:c>
      <x:c r="B18" s="22" t="str">
        <x:v>완료여부</x:v>
      </x:c>
      <x:c r="C18" s="22" t="str">
        <x:v>실적 기준 준비/진행/완료</x:v>
      </x:c>
      <x:c r="D18" s="22" t="str">
        <x:v>수식</x:v>
      </x:c>
    </x:row>
    <x:row r="19">
      <x:c r="A19" s="22" t="str">
        <x:v>자동</x:v>
      </x:c>
      <x:c r="B19" s="22" t="str">
        <x:v>진행상태</x:v>
      </x:c>
      <x:c r="C19" s="22" t="str">
        <x:v>계획 대비 정상/주의/지연</x:v>
      </x:c>
      <x:c r="D19" s="22" t="str">
        <x:v>수식</x:v>
      </x:c>
    </x:row>
    <x:row r="20">
      <x:c r="A20" s="22" t="str">
        <x:v>자동</x:v>
      </x:c>
      <x:c r="B20" s="22" t="str">
        <x:v>월/주차 셀</x:v>
      </x:c>
      <x:c r="C20" s="22" t="str">
        <x:v>계획/진행/완료/주의/지연 표시</x:v>
      </x:c>
      <x:c r="D20" s="22" t="str">
        <x:v>수식+조건부서식</x:v>
      </x:c>
    </x:row>
  </x:sheetData>
  <x:mergeCells>
    <x:mergeCell ref="A1:D1"/>
  </x:mergeCells>
  <x:pageMargins left="0.7" right="0.7" top="0.75" bottom="0.75" header="0.3" footer="0.3"/>
</x:worksheet>
</file>