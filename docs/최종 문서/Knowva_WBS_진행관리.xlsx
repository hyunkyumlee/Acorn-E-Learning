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_진행관리" sheetId="1" r:id="rId5"/>
    <sheet state="visible" name="설정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tc={b1f800d7-20fe-46c7-873c-360fbe4849a7}</author>
  </authors>
  <commentList>
    <comment authorId="0" xr:uid="{b1f800d7-20fe-46c7-873c-360fbe4849a7}" ref="D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담당자 변경 고지연-&gt;조아진
</t>
      </text>
    </comment>
  </commentList>
</comments>
</file>

<file path=xl/sharedStrings.xml><?xml version="1.0" encoding="utf-8"?>
<sst xmlns="http://schemas.openxmlformats.org/spreadsheetml/2006/main" count="316" uniqueCount="241">
  <si>
    <t>WBS ID</t>
  </si>
  <si>
    <t>번호</t>
  </si>
  <si>
    <t>분담 범위</t>
  </si>
  <si>
    <t>담당자</t>
  </si>
  <si>
    <t>작업</t>
  </si>
  <si>
    <t>완료 기준</t>
  </si>
  <si>
    <t>시작일</t>
  </si>
  <si>
    <t>종료일</t>
  </si>
  <si>
    <t>계획(%)</t>
  </si>
  <si>
    <t>실적(%)</t>
  </si>
  <si>
    <t>진행률(%)</t>
  </si>
  <si>
    <t>완료여부</t>
  </si>
  <si>
    <t>진행상태</t>
  </si>
  <si>
    <t>비고</t>
  </si>
  <si>
    <t>6월 2주</t>
  </si>
  <si>
    <t>6월 3주</t>
  </si>
  <si>
    <t>6월 4주</t>
  </si>
  <si>
    <t>6월 5주</t>
  </si>
  <si>
    <t>7월 1주</t>
  </si>
  <si>
    <t>7월 2주</t>
  </si>
  <si>
    <t>7월 3주</t>
  </si>
  <si>
    <t>7월 4주</t>
  </si>
  <si>
    <t>7월 5주</t>
  </si>
  <si>
    <t>WBS-001</t>
  </si>
  <si>
    <t>공통</t>
  </si>
  <si>
    <t>공통 기반 / 구현 기준</t>
  </si>
  <si>
    <t>이현겸</t>
  </si>
  <si>
    <t>공통 response, error, validation, idempotency, config 기준 확인</t>
  </si>
  <si>
    <t>각 담당자가 같은 공통 기준으로 Controller/Service/Mapper 구현</t>
  </si>
  <si>
    <t>WBS-002</t>
  </si>
  <si>
    <t>문서 총괄</t>
  </si>
  <si>
    <t>최종 Word 기획서, Notion 기획서, SRS, 매핑표 정책 문구 정합성 확인</t>
  </si>
  <si>
    <t>공통 로그인, ChatGPT API, 테스트케이스 실행 채점 기준 일치</t>
  </si>
  <si>
    <t>WBS-003</t>
  </si>
  <si>
    <t>제출 파일 관리</t>
  </si>
  <si>
    <t>docs/최종 문서 파일 구성과 commit 포함 여부 정리</t>
  </si>
  <si>
    <t>제출 파일 목록과 repo 반영 여부 팀 공유</t>
  </si>
  <si>
    <t>WBS-004</t>
  </si>
  <si>
    <t>1번</t>
  </si>
  <si>
    <t>Auth / Security</t>
  </si>
  <si>
    <t>이정하</t>
  </si>
  <si>
    <t>회원가입, 공통 로그인, 로그아웃, session 저장/조회 흐름 구현</t>
  </si>
  <si>
    <t>로그인/로그아웃과 session user 사용 가능</t>
  </si>
  <si>
    <t>인증</t>
  </si>
  <si>
    <t>WBS-005</t>
  </si>
  <si>
    <t>Role redirect</t>
  </si>
  <si>
    <t>ROLE_USER는 /learning, ROLE_ADMIN은 /admin 이동 구현</t>
  </si>
  <si>
    <t>관리자 별도 로그인 없이 공통 로그인에서 role별 이동</t>
  </si>
  <si>
    <t>WBS-006</t>
  </si>
  <si>
    <t>Auth guard</t>
  </si>
  <si>
    <t>LoginRequiredInterceptor, AdminRequiredInterceptor, owner guard 연결</t>
  </si>
  <si>
    <t>비로그인/일반 사용자/관리자 접근 경계 동작</t>
  </si>
  <si>
    <t>WBS-007</t>
  </si>
  <si>
    <t>2번</t>
  </si>
  <si>
    <t>학습 / 커리큘럼</t>
  </si>
  <si>
    <t>조아진</t>
  </si>
  <si>
    <t>학습 메인, roadmap, lesson, progress, bookmark 조회/저장 구현</t>
  </si>
  <si>
    <t>SR-003 학습 화면에 학습 상태와 진행률 표시</t>
  </si>
  <si>
    <t>학습</t>
  </si>
  <si>
    <t>WBS-008</t>
  </si>
  <si>
    <t>레벨 테스트</t>
  </si>
  <si>
    <t>8문항 제출, 정답 계산, Bronze/Silver/Gold 반영 흐름 구현</t>
  </si>
  <si>
    <t>0-2 Bronze, 3-5 Silver, 6-8 Gold 기준 DB 반영</t>
  </si>
  <si>
    <t>WBS-009</t>
  </si>
  <si>
    <t>출석 / unlock</t>
  </si>
  <si>
    <t>attendance/streak 기록과 level unlock owner contract 정리</t>
  </si>
  <si>
    <t>unlock/attendance owner service 경유</t>
  </si>
  <si>
    <t>WBS-010</t>
  </si>
  <si>
    <t>3번</t>
  </si>
  <si>
    <t>문제풀이</t>
  </si>
  <si>
    <t>고지연</t>
  </si>
  <si>
    <t>일반 문제 10문제 세트, 답안 제출, 등록 정답 기반 채점 구현</t>
  </si>
  <si>
    <t>10문제 중 7문제 이상 통과 기준 동작</t>
  </si>
  <si>
    <t>문제</t>
  </si>
  <si>
    <t/>
  </si>
  <si>
    <t>WBS-011</t>
  </si>
  <si>
    <t>오답 복습</t>
  </si>
  <si>
    <t>오답 저장, 오답 목록/상세, 재정답, +5 1회 지급 흐름 구현</t>
  </si>
  <si>
    <t>오답 재풀이 결과와 점수 이벤트 저장</t>
  </si>
  <si>
    <t>WBS-012</t>
  </si>
  <si>
    <t>점수 / 랭킹</t>
  </si>
  <si>
    <t>score_events 기반 ranking 조회 구현 및 출석 점수 제외</t>
  </si>
  <si>
    <t>ranking이 문제/시험 점수 기준으로 조회</t>
  </si>
  <si>
    <t>WBS-013</t>
  </si>
  <si>
    <t>4번</t>
  </si>
  <si>
    <t>AI 코딩테스트</t>
  </si>
  <si>
    <t>시험 eligibility, session/status, 답안 저장, retry 흐름 구현</t>
  </si>
  <si>
    <t>SR-008 시험 응시와 결과 흐름 route/API/MVC 연결</t>
  </si>
  <si>
    <t>AI</t>
  </si>
  <si>
    <t>WBS-014</t>
  </si>
  <si>
    <t>ChatGPT API</t>
  </si>
  <si>
    <t>ChatGPT API adapter, prompt schema, request log, timeout/retry 기준 구현</t>
  </si>
  <si>
    <t>로컬 LLM 없이 ChatGPT API 호출 성공/실패 기록</t>
  </si>
  <si>
    <t>WBS-015</t>
  </si>
  <si>
    <t>테스트케이스 실행 채점</t>
  </si>
  <si>
    <t>AI는 생성/해설/코드 리뷰만 담당하고 정답 판정은 testcase 실행으로 처리</t>
  </si>
  <si>
    <t>정답/오답 판정이 testcase 실행 결과로 저장</t>
  </si>
  <si>
    <t>WBS-016</t>
  </si>
  <si>
    <t>AI 분석 MVP</t>
  </si>
  <si>
    <t>무료 분석 화면 DB 연결, Premium 상세 그래프/카드, 분석 상태, 실패/재시도 흐름 구현·수정</t>
  </si>
  <si>
    <t>무료/프리미엄 분석 화면이 실제 시험·학습·오답 데이터로 표시되고 Premium 접근이 PaymentAccessService 기준으로 제어됨</t>
  </si>
  <si>
    <t>MVP</t>
  </si>
  <si>
    <t xml:space="preserve"> </t>
  </si>
  <si>
    <t>WBS-017</t>
  </si>
  <si>
    <t>5번</t>
  </si>
  <si>
    <t>커뮤니티</t>
  </si>
  <si>
    <t>장윤성</t>
  </si>
  <si>
    <t>게시글, 댓글, 좋아요, 스크랩, 신고 흐름 구현</t>
  </si>
  <si>
    <t>owner/admin 권한 기준으로 커뮤니티 CRUD와 반응 기능 동작</t>
  </si>
  <si>
    <t>WBS-018</t>
  </si>
  <si>
    <t>첨부 파일</t>
  </si>
  <si>
    <t>multipart upload, attachment metadata, 파일 제한 정책 구현</t>
  </si>
  <si>
    <t>첨부 저장/조회/삭제 기준이 커뮤니티 transaction에 맞게 동작</t>
  </si>
  <si>
    <t>WBS-019</t>
  </si>
  <si>
    <t>추천 콘텐츠</t>
  </si>
  <si>
    <t>content_recommendations basic 조회와 추천 콘텐츠 route ownership 정리</t>
  </si>
  <si>
    <t>추천 콘텐츠가 결제 범위가 아니라 커뮤니티/콘텐츠 확장으로 유지</t>
  </si>
  <si>
    <t>WBS-020</t>
  </si>
  <si>
    <t>6번</t>
  </si>
  <si>
    <t>결제 / Premium</t>
  </si>
  <si>
    <t>박세인</t>
  </si>
  <si>
    <t>dummy payment, payment history, premium_grants 생성 흐름 구현</t>
  </si>
  <si>
    <t>실제 PG 없이 결제 성공 시 ACTIVE/LIFETIME grant 생성</t>
  </si>
  <si>
    <t>결제</t>
  </si>
  <si>
    <t>WBS-021</t>
  </si>
  <si>
    <t>Premium access</t>
  </si>
  <si>
    <t>PaymentAccessService로 Premium 기능 접근 가능 여부 판정</t>
  </si>
  <si>
    <t>Premium 전용 role 없이 grant/status로 접근 제어</t>
  </si>
  <si>
    <t>WBS-022</t>
  </si>
  <si>
    <t>마이페이지 / 설정</t>
  </si>
  <si>
    <t>mypage, profile, security, social, system, payment, withdraw 화면/기능 구현</t>
  </si>
  <si>
    <t>SR-012, SR-015 화면이 API/MVC 명세와 연결</t>
  </si>
  <si>
    <t>사용자</t>
  </si>
  <si>
    <t>WBS-023</t>
  </si>
  <si>
    <t>7번</t>
  </si>
  <si>
    <t>관리자</t>
  </si>
  <si>
    <t>송주창</t>
  </si>
  <si>
    <t>admin dashboard, 사용자/콘텐츠/커뮤니티/신고/공지 관리 화면 구현</t>
  </si>
  <si>
    <t>ROLE_ADMIN guard로 /admin/** 접근 제어</t>
  </si>
  <si>
    <t>WBS-024</t>
  </si>
  <si>
    <t>Admin operation log</t>
  </si>
  <si>
    <t>관리자 상태 변경, 신고 처리, 공지 변경 시 admin_operation_logs 기록</t>
  </si>
  <si>
    <t>관리자 변경 action마다 audit log 기록</t>
  </si>
  <si>
    <t>WBS-025</t>
  </si>
  <si>
    <t>통합 smoke</t>
  </si>
  <si>
    <t>주요 route/API, Mapper XML namespace, template resolve 통합 점검</t>
  </si>
  <si>
    <t>bootRun/test 결과와 주요 화면/API smoke 결과 공유</t>
  </si>
  <si>
    <t>검증</t>
  </si>
  <si>
    <t>WBS-026</t>
  </si>
  <si>
    <t>전체</t>
  </si>
  <si>
    <t>MVP 통합 테스트 / 구현 보강</t>
  </si>
  <si>
    <t>각 담당 범위 구현 상황에 맞춰 주요 route/API/화면 smoke test, 누락 요구사항 구현·수정, MVP 부족 범위 보강</t>
  </si>
  <si>
    <t>7/11 MVP 마감 전 핵심 흐름 smoke 결과와 blocker 정리 완료</t>
  </si>
  <si>
    <t>WBS-027</t>
  </si>
  <si>
    <t>MVP 이후</t>
  </si>
  <si>
    <t>확장 기능 / 애니메이션 / 배포 준비</t>
  </si>
  <si>
    <t>MVP 이후 확장 기능 구현, 화면 애니메이션 적용, MVP 미흡 기능 추가 보강, 배포 준비 체크리스트 완료</t>
  </si>
  <si>
    <t>7/18까지 확장 기능·애니메이션 적용 범위와 배포 준비 상태가 정리됨</t>
  </si>
  <si>
    <t>확장</t>
  </si>
  <si>
    <t>WBS-028</t>
  </si>
  <si>
    <t>공통 UI / Theme</t>
  </si>
  <si>
    <t>다크모드 버튼 텍스트 가독성 개선 및 Theme 대비 점검</t>
  </si>
  <si>
    <t>다크모드가 적용된 전체 화면에서 버튼 텍스트 대비가 기준 충족</t>
  </si>
  <si>
    <t>공통 UI</t>
  </si>
  <si>
    <t>WBS-029</t>
  </si>
  <si>
    <t>공통 기반 / 배포·운영 준비</t>
  </si>
  <si>
    <t>배포 흐름·운영 환경변수·smoke test·문서/추적표 통합 정리</t>
  </si>
  <si>
    <t>배포·운영 기준, 추적표·문서와 발표 전 통합 검증이 최신화됨</t>
  </si>
  <si>
    <t>공통/배포</t>
  </si>
  <si>
    <t>WBS-030</t>
  </si>
  <si>
    <t>학습·커리큘럼·출석</t>
  </si>
  <si>
    <t>과목 대표 정보·진도율 개선, 레벨·행성 달성 연출, 누비 행성 이동 애니메이션</t>
  </si>
  <si>
    <t>학습 흐름에서 대표 정보·진도와 완료·누비 이동 연출이 확인됨</t>
  </si>
  <si>
    <t>WBS-031</t>
  </si>
  <si>
    <t>학습·과목 선택</t>
  </si>
  <si>
    <t>최초 접속 시 과목 선택 화면 제공, 학습 메인 과목 선택 섹션에 과목 추가 기능 구현, 중복 추가 방지</t>
  </si>
  <si>
    <t>신규 계정이 1개 이상 과목을 선택해 진입하고 선택 과목이 학습 목록·로드맵에 반영되며 미선택·중복 과목 접근이 제한됨</t>
  </si>
  <si>
    <t>완료</t>
  </si>
  <si>
    <t>정상</t>
  </si>
  <si>
    <t>WBS-032</t>
  </si>
  <si>
    <t>문제풀이·오답·랭킹</t>
  </si>
  <si>
    <t>문제 이동 버튼, 주간·월간 랭킹, 상황별 오답 피드백</t>
  </si>
  <si>
    <t>문제풀이 조작·랭킹·오답 피드백이 각 화면에서 확인됨</t>
  </si>
  <si>
    <t>WBS-033</t>
  </si>
  <si>
    <t>문제풀이·진행 연동</t>
  </si>
  <si>
    <t>신규 계정 첫 Bronze 레슨의 이론 완료 잠금 오류 해결, 문제풀이 시작 및 레슨 진행 상태 갱신 연동</t>
  </si>
  <si>
    <t>첫 Bronze 이론 완료 후 START_PRACTICE로 진입하고 진행 상태가 반영되며 미해금 Silver·Gold 제한은 유지됨</t>
  </si>
  <si>
    <t>WBS-034</t>
  </si>
  <si>
    <t>커뮤니티·추천 콘텐츠</t>
  </si>
  <si>
    <t>커뮤니티 게시판 데이터 및 과목별 영상·추가 자료 확장</t>
  </si>
  <si>
    <t>커뮤니티와 추천 콘텐츠에서 추가 데이터·자료가 표시됨</t>
  </si>
  <si>
    <t>WBS-035</t>
  </si>
  <si>
    <t>관리자·운영</t>
  </si>
  <si>
    <t>통계 필터, 과목 비활성화, 공지·운영 로그, 커뮤니티 숨김 표시</t>
  </si>
  <si>
    <t>관리자 통계·운영 기능과 사용자 노출 제한 흐름이 확인됨</t>
  </si>
  <si>
    <t>WBS-036</t>
  </si>
  <si>
    <t>관리자·추천 콘텐츠</t>
  </si>
  <si>
    <t>관리자 추천 콘텐츠 관리 메뉴와 과목별 목록·필터, 등록·수정·삭제·활성/비활성·노출 순서 관리 구현</t>
  </si>
  <si>
    <t>관리자가 과목별 추천 콘텐츠를 관리하고 활성 콘텐츠만 사용자 커뮤니티 추천 콘텐츠 화면에 노출됨</t>
  </si>
  <si>
    <t>WBS-037</t>
  </si>
  <si>
    <t>결제·Premium·마이페이지</t>
  </si>
  <si>
    <t>카카오페이, PG/결제 취소, Premium 권한·결제 상태 연동</t>
  </si>
  <si>
    <t>결제 요청·성공·실패·취소와 Premium 권한·결제 이력 연동이 확인됨</t>
  </si>
  <si>
    <t>WBS-038</t>
  </si>
  <si>
    <t>인증·세션·튜토리얼</t>
  </si>
  <si>
    <t>비밀번호 찾기·이메일 재설정, 튜토리얼 누비 좌표 이동 애니메이션</t>
  </si>
  <si>
    <t>이메일 기반 비밀번호 재설정과 튜토리얼 누비 이동 연출이 확인됨</t>
  </si>
  <si>
    <t>WBS-039</t>
  </si>
  <si>
    <t>배포</t>
  </si>
  <si>
    <t>배포 준비 / CI-CD</t>
  </si>
  <si>
    <t>EC2 Docker MySQL, 애플리케이션 Docker 이미지, GitHub Actions workflow, 운영 환경변수·Secrets 기준 정리</t>
  </si>
  <si>
    <t>7/18까지 발표용 서버 배포 절차가 재실행 가능하게 준비됨</t>
  </si>
  <si>
    <t>배포 준비</t>
  </si>
  <si>
    <t>WBS-040</t>
  </si>
  <si>
    <t>도메인 / HTTPS / 운영 배포</t>
  </si>
  <si>
    <t>Route53 knowvaedu.com 연결, HTTPS 인증서, reverse proxy 설정, 운영 배포 smoke test</t>
  </si>
  <si>
    <t>knowvaedu.com HTTPS 접속과 주요 화면/API smoke test가 확인됨</t>
  </si>
  <si>
    <t>WBS-041</t>
  </si>
  <si>
    <t>배포 검증 / 데이터 세팅 / 문서·발표 준비</t>
  </si>
  <si>
    <t>배포 서버 최종 검증, 샘플 데이터·시연 계정 세팅, 디버깅, 최종 문서 작업, 발표 자료/시연 동선 준비</t>
  </si>
  <si>
    <t>발표 전일까지 배포 환경, 데이터, 문서, 발표 자료와 시연 동선 준비 완료</t>
  </si>
  <si>
    <t>마무리</t>
  </si>
  <si>
    <t>Knowva WBS 설정</t>
  </si>
  <si>
    <t>월</t>
  </si>
  <si>
    <t>주차</t>
  </si>
  <si>
    <t>2026년 6월</t>
  </si>
  <si>
    <t>2026년 7월</t>
  </si>
  <si>
    <t>입력/자동</t>
  </si>
  <si>
    <t>대상</t>
  </si>
  <si>
    <t>설명</t>
  </si>
  <si>
    <t>입력</t>
  </si>
  <si>
    <t>일정 기준 목표 진행률</t>
  </si>
  <si>
    <t>0%~100%</t>
  </si>
  <si>
    <t>실제 진행률</t>
  </si>
  <si>
    <t>자동</t>
  </si>
  <si>
    <t>실적 기준 준비/진행/완료</t>
  </si>
  <si>
    <t>수식</t>
  </si>
  <si>
    <t>계획 대비 정상/주의/지연</t>
  </si>
  <si>
    <t>월/주차 셀</t>
  </si>
  <si>
    <t>계획/진행/완료/주의/지연 표시</t>
  </si>
  <si>
    <t>수식+조건부서식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</si>
</sst>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1.0"/>
      <color rgb="FF000000"/>
      <name val="Carlito"/>
      <scheme val="minor"/>
    </font>
    <font>
      <b/>
      <sz val="10.0"/>
      <color rgb="FF111827"/>
      <name val="Malgun Gothic"/>
    </font>
    <font>
      <sz val="11.0"/>
      <color theme="1"/>
      <name val="Malgun Gothic"/>
    </font>
    <font>
      <b/>
      <sz val="12.0"/>
      <color rgb="FF111827"/>
      <name val="Malgun Gothic"/>
    </font>
    <font/>
    <font>
      <b/>
      <sz val="14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F172A"/>
        <bgColor rgb="FF0F172A"/>
      </patternFill>
    </fill>
    <fill>
      <patternFill patternType="solid">
        <fgColor rgb="FF475569"/>
        <bgColor rgb="FF475569"/>
      </patternFill>
    </fill>
  </fills>
  <borders count="6">
    <border/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  <border>
      <left style="thin">
        <color rgb="FF334155"/>
      </left>
      <right style="thin">
        <color rgb="FF334155"/>
      </right>
      <top style="thin">
        <color rgb="FF334155"/>
      </top>
    </border>
    <border>
      <left style="thin">
        <color rgb="FF334155"/>
      </left>
      <right style="thin">
        <color rgb="FF334155"/>
      </right>
    </border>
    <border>
      <left style="thin">
        <color rgb="FF334155"/>
      </left>
      <right style="thin">
        <color rgb="FF334155"/>
      </right>
      <bottom style="thin">
        <color rgb="FF334155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1" fillId="2" fontId="1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shrinkToFit="0" vertical="center" wrapText="1"/>
    </xf>
    <xf borderId="1" fillId="3" fontId="2" numFmtId="164" xfId="0" applyAlignment="1" applyBorder="1" applyFont="1" applyNumberFormat="1">
      <alignment readingOrder="0" vertical="center"/>
    </xf>
    <xf borderId="1" fillId="3" fontId="2" numFmtId="9" xfId="0" applyAlignment="1" applyBorder="1" applyFont="1" applyNumberFormat="1">
      <alignment horizontal="center" readingOrder="0" vertical="center"/>
    </xf>
    <xf borderId="1" fillId="3" fontId="2" numFmtId="9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3" fontId="2" numFmtId="164" xfId="0" applyAlignment="1" applyBorder="1" applyFont="1" applyNumberFormat="1">
      <alignment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ont="1">
      <alignment readingOrder="0" vertical="center"/>
    </xf>
    <xf borderId="1" fillId="3" fontId="3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vertical="center"/>
    </xf>
    <xf borderId="0" fillId="5" fontId="5" numFmtId="0" xfId="0" applyFill="1" applyFont="1"/>
    <xf borderId="5" fillId="6" fontId="6" numFmtId="0" xfId="0" applyBorder="1" applyFill="1" applyFont="1"/>
    <xf borderId="5" fillId="3" fontId="7" numFmtId="0" xfId="0" applyBorder="1" applyFont="1"/>
    <xf borderId="5" fillId="3" fontId="7" numFmtId="164" xfId="0" applyBorder="1" applyFont="1" applyNumberFormat="1"/>
    <xf borderId="5" fillId="3" fontId="7" numFmtId="164" xfId="0" applyBorder="1" applyFont="1" applyNumberFormat="1"/>
  </cellXfs>
  <cellStyles count="1">
    <cellStyle xfId="0" name="Normal" builtinId="0"/>
  </cellStyles>
  <dxfs count="5">
    <dxf>
      <font>
        <b/>
        <color rgb="FF111827"/>
      </font>
      <fill>
        <patternFill patternType="solid">
          <fgColor rgb="FFC6EFCE"/>
          <bgColor rgb="FFC6EFCE"/>
        </patternFill>
      </fill>
      <border/>
    </dxf>
    <dxf>
      <font>
        <b/>
        <color rgb="FF111827"/>
      </font>
      <fill>
        <patternFill patternType="solid">
          <fgColor rgb="FFFFEB9C"/>
          <bgColor rgb="FFFFEB9C"/>
        </patternFill>
      </fill>
      <border/>
    </dxf>
    <dxf>
      <font>
        <b/>
        <color rgb="FF111827"/>
      </font>
      <fill>
        <patternFill patternType="solid">
          <fgColor rgb="FFFFC7CE"/>
          <bgColor rgb="FFFFC7CE"/>
        </patternFill>
      </fill>
      <border/>
    </dxf>
    <dxf>
      <font>
        <b/>
        <color rgb="FF111827"/>
      </font>
      <fill>
        <patternFill patternType="solid">
          <fgColor rgb="FFBDD7EE"/>
          <bgColor rgb="FFBDD7EE"/>
        </patternFill>
      </fill>
      <border/>
    </dxf>
    <dxf>
      <font>
        <b/>
        <color rgb="FF111827"/>
      </font>
      <fill>
        <patternFill patternType="solid">
          <fgColor rgb="FFE5E7EB"/>
          <bgColor rgb="FFE5E7E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iyoun Ko" id="{c05ee9c8-30b8-45e7-a656-19fc3b2f9be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4" dT="2026-07-15T01:43:41.00" personId="{c05ee9c8-30b8-45e7-a656-19fc3b2f9bee}" id="{b1f800d7-20fe-46c7-873c-360fbe4849a7}" done="0">
    <x18tc:text xml:space="preserve">담당자 변경 고지연-&gt;조아진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9.0"/>
    <col customWidth="1" min="3" max="3" width="22.0"/>
    <col customWidth="1" min="4" max="4" width="6.63"/>
    <col customWidth="1" min="5" max="5" width="55.5"/>
    <col customWidth="1" min="6" max="6" width="51.38"/>
    <col customWidth="1" min="7" max="8" width="12.0"/>
    <col customWidth="1" min="9" max="13" width="10.0"/>
    <col customWidth="1" min="14" max="14" width="11.0"/>
    <col customWidth="1" min="15" max="23" width="10.0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ht="36.0" customHeight="1">
      <c r="A2" s="3" t="s">
        <v>23</v>
      </c>
      <c r="B2" s="4" t="s">
        <v>24</v>
      </c>
      <c r="C2" s="3" t="s">
        <v>25</v>
      </c>
      <c r="D2" s="4" t="s">
        <v>26</v>
      </c>
      <c r="E2" s="5" t="s">
        <v>27</v>
      </c>
      <c r="F2" s="5" t="s">
        <v>28</v>
      </c>
      <c r="G2" s="6">
        <v>46195.0</v>
      </c>
      <c r="H2" s="6">
        <v>46206.0</v>
      </c>
      <c r="I2" s="7">
        <v>1.0</v>
      </c>
      <c r="J2" s="7">
        <v>1.0</v>
      </c>
      <c r="K2" s="8">
        <f t="shared" ref="K2:K31" si="1">IF(LEN($J2&amp;"")=0,"",$J2)</f>
        <v>1</v>
      </c>
      <c r="L2" s="3" t="str">
        <f t="shared" ref="L2:L31" si="2">IF(LEN($K2&amp;"")=0,"",IF($K2&gt;=1,"완료",IF($K2&gt;0,"진행","준비")))</f>
        <v>완료</v>
      </c>
      <c r="M2" s="3" t="str">
        <f t="shared" ref="M2:M17" si="3">IF(OR(LEN($I2&amp;"")=0,LEN($J2&amp;"")=0),"",IF($J2&gt;=1,"정상",IF($J2&gt;=$I2,"정상",IF($I2-$J2&gt;0.1,"지연","주의"))))</f>
        <v>정상</v>
      </c>
      <c r="N2" s="9" t="s">
        <v>24</v>
      </c>
      <c r="O2" s="10" t="str">
        <f>IF(OR($G2&gt;'설정'!$D$4,$H2&lt;'설정'!$C$4),"",IF($L2="완료","완료",IF($M2="지연","지연",IF($M2="주의","주의",IF($J2&gt;0,"진행","계획")))))</f>
        <v/>
      </c>
      <c r="P2" s="10" t="str">
        <f>IF(OR($G2&gt;'설정'!$D$5,$H2&lt;'설정'!$C$5),"",IF($L2="완료","완료",IF($M2="지연","지연",IF($M2="주의","주의",IF($J2&gt;0,"진행","계획")))))</f>
        <v/>
      </c>
      <c r="Q2" s="10" t="str">
        <f>IF(OR($G2&gt;'설정'!$D$6,$H2&lt;'설정'!$C$6),"",IF($L2="완료","완료",IF($M2="지연","지연",IF($M2="주의","주의",IF($J2&gt;0,"진행","계획")))))</f>
        <v>완료</v>
      </c>
      <c r="R2" s="10" t="str">
        <f>IF(OR($G2&gt;'설정'!$D$7,$H2&lt;'설정'!$C$7),"",IF($L2="완료","완료",IF($M2="지연","지연",IF($M2="주의","주의",IF($J2&gt;0,"진행","계획")))))</f>
        <v>완료</v>
      </c>
      <c r="S2" s="10" t="str">
        <f>IF(OR($G2&gt;'설정'!$D$8,$H2&lt;'설정'!$C$8),"",IF($L2="완료","완료",IF($M2="지연","지연",IF($M2="주의","주의",IF($J2&gt;0,"진행","계획")))))</f>
        <v>완료</v>
      </c>
      <c r="T2" s="10" t="str">
        <f>IF(OR($G2&gt;'설정'!$D$9,$H2&lt;'설정'!$C$9),"",IF($L2="완료","완료",IF($M2="지연","지연",IF($M2="주의","주의",IF($J2&gt;0,"진행","계획")))))</f>
        <v/>
      </c>
      <c r="U2" s="10" t="str">
        <f>IF(OR($G2&gt;'설정'!$D$10,$H2&lt;'설정'!$C$10),"",IF($L2="완료","완료",IF($M2="지연","지연",IF($M2="주의","주의",IF($J2&gt;0,"진행","계획")))))</f>
        <v/>
      </c>
      <c r="V2" s="10" t="str">
        <f>IF(OR($G2&gt;'설정'!$D$11,$H2&lt;'설정'!$C$11),"",IF($L2="완료","완료",IF($M2="지연","지연",IF($M2="주의","주의",IF($J2&gt;0,"진행","계획")))))</f>
        <v/>
      </c>
      <c r="W2" s="10" t="str">
        <f>IF(OR($G2&gt;'설정'!$D$12,$H2&lt;'설정'!$C$12),"",IF($L2="완료","완료",IF($M2="지연","지연",IF($M2="주의","주의",IF($J2&gt;0,"진행","계획")))))</f>
        <v/>
      </c>
    </row>
    <row r="3" ht="36.0" customHeight="1">
      <c r="A3" s="3" t="s">
        <v>29</v>
      </c>
      <c r="B3" s="11"/>
      <c r="C3" s="3" t="s">
        <v>30</v>
      </c>
      <c r="D3" s="11"/>
      <c r="E3" s="5" t="s">
        <v>31</v>
      </c>
      <c r="F3" s="5" t="s">
        <v>32</v>
      </c>
      <c r="G3" s="6">
        <v>46184.0</v>
      </c>
      <c r="H3" s="6">
        <v>46230.0</v>
      </c>
      <c r="I3" s="7">
        <v>1.0</v>
      </c>
      <c r="J3" s="7">
        <v>1.0</v>
      </c>
      <c r="K3" s="8">
        <f t="shared" si="1"/>
        <v>1</v>
      </c>
      <c r="L3" s="3" t="str">
        <f t="shared" si="2"/>
        <v>완료</v>
      </c>
      <c r="M3" s="3" t="str">
        <f t="shared" si="3"/>
        <v>정상</v>
      </c>
      <c r="N3" s="9" t="s">
        <v>24</v>
      </c>
      <c r="O3" s="10" t="str">
        <f>IF(OR($G3&gt;'설정'!$D$4,$H3&lt;'설정'!$C$4),"",IF($L3="완료","완료",IF($M3="지연","지연",IF($M3="주의","주의",IF($J3&gt;0,"진행","계획")))))</f>
        <v>완료</v>
      </c>
      <c r="P3" s="10" t="str">
        <f>IF(OR($G3&gt;'설정'!$D$5,$H3&lt;'설정'!$C$5),"",IF($L3="완료","완료",IF($M3="지연","지연",IF($M3="주의","주의",IF($J3&gt;0,"진행","계획")))))</f>
        <v>완료</v>
      </c>
      <c r="Q3" s="10" t="str">
        <f>IF(OR($G3&gt;'설정'!$D$6,$H3&lt;'설정'!$C$6),"",IF($L3="완료","완료",IF($M3="지연","지연",IF($M3="주의","주의",IF($J3&gt;0,"진행","계획")))))</f>
        <v>완료</v>
      </c>
      <c r="R3" s="10" t="str">
        <f>IF(OR($G3&gt;'설정'!$D$7,$H3&lt;'설정'!$C$7),"",IF($L3="완료","완료",IF($M3="지연","지연",IF($M3="주의","주의",IF($J3&gt;0,"진행","계획")))))</f>
        <v>완료</v>
      </c>
      <c r="S3" s="10" t="str">
        <f>IF(OR($G3&gt;'설정'!$D$8,$H3&lt;'설정'!$C$8),"",IF($L3="완료","완료",IF($M3="지연","지연",IF($M3="주의","주의",IF($J3&gt;0,"진행","계획")))))</f>
        <v>완료</v>
      </c>
      <c r="T3" s="10" t="str">
        <f>IF(OR($G3&gt;'설정'!$D$9,$H3&lt;'설정'!$C$9),"",IF($L3="완료","완료",IF($M3="지연","지연",IF($M3="주의","주의",IF($J3&gt;0,"진행","계획")))))</f>
        <v>완료</v>
      </c>
      <c r="U3" s="10" t="str">
        <f>IF(OR($G3&gt;'설정'!$D$10,$H3&lt;'설정'!$C$10),"",IF($L3="완료","완료",IF($M3="지연","지연",IF($M3="주의","주의",IF($J3&gt;0,"진행","계획")))))</f>
        <v>완료</v>
      </c>
      <c r="V3" s="10" t="str">
        <f>IF(OR($G3&gt;'설정'!$D$11,$H3&lt;'설정'!$C$11),"",IF($L3="완료","완료",IF($M3="지연","지연",IF($M3="주의","주의",IF($J3&gt;0,"진행","계획")))))</f>
        <v>완료</v>
      </c>
      <c r="W3" s="10" t="str">
        <f>IF(OR($G3&gt;'설정'!$D$12,$H3&lt;'설정'!$C$12),"",IF($L3="완료","완료",IF($M3="지연","지연",IF($M3="주의","주의",IF($J3&gt;0,"진행","계획")))))</f>
        <v>완료</v>
      </c>
    </row>
    <row r="4" ht="36.0" customHeight="1">
      <c r="A4" s="3" t="s">
        <v>33</v>
      </c>
      <c r="B4" s="12"/>
      <c r="C4" s="3" t="s">
        <v>34</v>
      </c>
      <c r="D4" s="12"/>
      <c r="E4" s="5" t="s">
        <v>35</v>
      </c>
      <c r="F4" s="5" t="s">
        <v>36</v>
      </c>
      <c r="G4" s="6">
        <v>46184.0</v>
      </c>
      <c r="H4" s="6">
        <v>46230.0</v>
      </c>
      <c r="I4" s="7">
        <v>1.0</v>
      </c>
      <c r="J4" s="7">
        <v>1.0</v>
      </c>
      <c r="K4" s="8">
        <f t="shared" si="1"/>
        <v>1</v>
      </c>
      <c r="L4" s="3" t="str">
        <f t="shared" si="2"/>
        <v>완료</v>
      </c>
      <c r="M4" s="3" t="str">
        <f t="shared" si="3"/>
        <v>정상</v>
      </c>
      <c r="N4" s="9" t="s">
        <v>24</v>
      </c>
      <c r="O4" s="10" t="str">
        <f>IF(OR($G4&gt;'설정'!$D$4,$H4&lt;'설정'!$C$4),"",IF($L4="완료","완료",IF($M4="지연","지연",IF($M4="주의","주의",IF($J4&gt;0,"진행","계획")))))</f>
        <v>완료</v>
      </c>
      <c r="P4" s="10" t="str">
        <f>IF(OR($G4&gt;'설정'!$D$5,$H4&lt;'설정'!$C$5),"",IF($L4="완료","완료",IF($M4="지연","지연",IF($M4="주의","주의",IF($J4&gt;0,"진행","계획")))))</f>
        <v>완료</v>
      </c>
      <c r="Q4" s="10" t="str">
        <f>IF(OR($G4&gt;'설정'!$D$6,$H4&lt;'설정'!$C$6),"",IF($L4="완료","완료",IF($M4="지연","지연",IF($M4="주의","주의",IF($J4&gt;0,"진행","계획")))))</f>
        <v>완료</v>
      </c>
      <c r="R4" s="10" t="str">
        <f>IF(OR($G4&gt;'설정'!$D$7,$H4&lt;'설정'!$C$7),"",IF($L4="완료","완료",IF($M4="지연","지연",IF($M4="주의","주의",IF($J4&gt;0,"진행","계획")))))</f>
        <v>완료</v>
      </c>
      <c r="S4" s="10" t="str">
        <f>IF(OR($G4&gt;'설정'!$D$8,$H4&lt;'설정'!$C$8),"",IF($L4="완료","완료",IF($M4="지연","지연",IF($M4="주의","주의",IF($J4&gt;0,"진행","계획")))))</f>
        <v>완료</v>
      </c>
      <c r="T4" s="10" t="str">
        <f>IF(OR($G4&gt;'설정'!$D$9,$H4&lt;'설정'!$C$9),"",IF($L4="완료","완료",IF($M4="지연","지연",IF($M4="주의","주의",IF($J4&gt;0,"진행","계획")))))</f>
        <v>완료</v>
      </c>
      <c r="U4" s="10" t="str">
        <f>IF(OR($G4&gt;'설정'!$D$10,$H4&lt;'설정'!$C$10),"",IF($L4="완료","완료",IF($M4="지연","지연",IF($M4="주의","주의",IF($J4&gt;0,"진행","계획")))))</f>
        <v>완료</v>
      </c>
      <c r="V4" s="10" t="str">
        <f>IF(OR($G4&gt;'설정'!$D$11,$H4&lt;'설정'!$C$11),"",IF($L4="완료","완료",IF($M4="지연","지연",IF($M4="주의","주의",IF($J4&gt;0,"진행","계획")))))</f>
        <v>완료</v>
      </c>
      <c r="W4" s="10" t="str">
        <f>IF(OR($G4&gt;'설정'!$D$12,$H4&lt;'설정'!$C$12),"",IF($L4="완료","완료",IF($M4="지연","지연",IF($M4="주의","주의",IF($J4&gt;0,"진행","계획")))))</f>
        <v>완료</v>
      </c>
    </row>
    <row r="5" ht="36.0" customHeight="1">
      <c r="A5" s="3" t="s">
        <v>37</v>
      </c>
      <c r="B5" s="4" t="s">
        <v>38</v>
      </c>
      <c r="C5" s="3" t="s">
        <v>39</v>
      </c>
      <c r="D5" s="4" t="s">
        <v>40</v>
      </c>
      <c r="E5" s="5" t="s">
        <v>41</v>
      </c>
      <c r="F5" s="5" t="s">
        <v>42</v>
      </c>
      <c r="G5" s="6">
        <v>46204.0</v>
      </c>
      <c r="H5" s="6">
        <v>46214.0</v>
      </c>
      <c r="I5" s="7">
        <v>1.0</v>
      </c>
      <c r="J5" s="7">
        <v>1.0</v>
      </c>
      <c r="K5" s="8">
        <f t="shared" si="1"/>
        <v>1</v>
      </c>
      <c r="L5" s="3" t="str">
        <f t="shared" si="2"/>
        <v>완료</v>
      </c>
      <c r="M5" s="3" t="str">
        <f t="shared" si="3"/>
        <v>정상</v>
      </c>
      <c r="N5" s="9" t="s">
        <v>43</v>
      </c>
      <c r="O5" s="10" t="str">
        <f>IF(OR($G5&gt;'설정'!$D$4,$H5&lt;'설정'!$C$4),"",IF($L5="완료","완료",IF($M5="지연","지연",IF($M5="주의","주의",IF($J5&gt;0,"진행","계획")))))</f>
        <v/>
      </c>
      <c r="P5" s="10" t="str">
        <f>IF(OR($G5&gt;'설정'!$D$5,$H5&lt;'설정'!$C$5),"",IF($L5="완료","완료",IF($M5="지연","지연",IF($M5="주의","주의",IF($J5&gt;0,"진행","계획")))))</f>
        <v/>
      </c>
      <c r="Q5" s="10" t="str">
        <f>IF(OR($G5&gt;'설정'!$D$6,$H5&lt;'설정'!$C$6),"",IF($L5="완료","완료",IF($M5="지연","지연",IF($M5="주의","주의",IF($J5&gt;0,"진행","계획")))))</f>
        <v/>
      </c>
      <c r="R5" s="10" t="str">
        <f>IF(OR($G5&gt;'설정'!$D$7,$H5&lt;'설정'!$C$7),"",IF($L5="완료","완료",IF($M5="지연","지연",IF($M5="주의","주의",IF($J5&gt;0,"진행","계획")))))</f>
        <v/>
      </c>
      <c r="S5" s="10" t="str">
        <f>IF(OR($G5&gt;'설정'!$D$8,$H5&lt;'설정'!$C$8),"",IF($L5="완료","완료",IF($M5="지연","지연",IF($M5="주의","주의",IF($J5&gt;0,"진행","계획")))))</f>
        <v>완료</v>
      </c>
      <c r="T5" s="10" t="str">
        <f>IF(OR($G5&gt;'설정'!$D$9,$H5&lt;'설정'!$C$9),"",IF($L5="완료","완료",IF($M5="지연","지연",IF($M5="주의","주의",IF($J5&gt;0,"진행","계획")))))</f>
        <v>완료</v>
      </c>
      <c r="U5" s="10" t="str">
        <f>IF(OR($G5&gt;'설정'!$D$10,$H5&lt;'설정'!$C$10),"",IF($L5="완료","완료",IF($M5="지연","지연",IF($M5="주의","주의",IF($J5&gt;0,"진행","계획")))))</f>
        <v/>
      </c>
      <c r="V5" s="10" t="str">
        <f>IF(OR($G5&gt;'설정'!$D$11,$H5&lt;'설정'!$C$11),"",IF($L5="완료","완료",IF($M5="지연","지연",IF($M5="주의","주의",IF($J5&gt;0,"진행","계획")))))</f>
        <v/>
      </c>
      <c r="W5" s="10" t="str">
        <f>IF(OR($G5&gt;'설정'!$D$12,$H5&lt;'설정'!$C$12),"",IF($L5="완료","완료",IF($M5="지연","지연",IF($M5="주의","주의",IF($J5&gt;0,"진행","계획")))))</f>
        <v/>
      </c>
    </row>
    <row r="6" ht="36.0" customHeight="1">
      <c r="A6" s="3" t="s">
        <v>44</v>
      </c>
      <c r="B6" s="11"/>
      <c r="C6" s="3" t="s">
        <v>45</v>
      </c>
      <c r="D6" s="11"/>
      <c r="E6" s="5" t="s">
        <v>46</v>
      </c>
      <c r="F6" s="5" t="s">
        <v>47</v>
      </c>
      <c r="G6" s="6">
        <v>46204.0</v>
      </c>
      <c r="H6" s="6">
        <v>46214.0</v>
      </c>
      <c r="I6" s="7">
        <v>1.0</v>
      </c>
      <c r="J6" s="7">
        <v>1.0</v>
      </c>
      <c r="K6" s="8">
        <f t="shared" si="1"/>
        <v>1</v>
      </c>
      <c r="L6" s="3" t="str">
        <f t="shared" si="2"/>
        <v>완료</v>
      </c>
      <c r="M6" s="3" t="str">
        <f t="shared" si="3"/>
        <v>정상</v>
      </c>
      <c r="N6" s="9" t="s">
        <v>43</v>
      </c>
      <c r="O6" s="10" t="str">
        <f>IF(OR($G6&gt;'설정'!$D$4,$H6&lt;'설정'!$C$4),"",IF($L6="완료","완료",IF($M6="지연","지연",IF($M6="주의","주의",IF($J6&gt;0,"진행","계획")))))</f>
        <v/>
      </c>
      <c r="P6" s="10" t="str">
        <f>IF(OR($G6&gt;'설정'!$D$5,$H6&lt;'설정'!$C$5),"",IF($L6="완료","완료",IF($M6="지연","지연",IF($M6="주의","주의",IF($J6&gt;0,"진행","계획")))))</f>
        <v/>
      </c>
      <c r="Q6" s="10" t="str">
        <f>IF(OR($G6&gt;'설정'!$D$6,$H6&lt;'설정'!$C$6),"",IF($L6="완료","완료",IF($M6="지연","지연",IF($M6="주의","주의",IF($J6&gt;0,"진행","계획")))))</f>
        <v/>
      </c>
      <c r="R6" s="10" t="str">
        <f>IF(OR($G6&gt;'설정'!$D$7,$H6&lt;'설정'!$C$7),"",IF($L6="완료","완료",IF($M6="지연","지연",IF($M6="주의","주의",IF($J6&gt;0,"진행","계획")))))</f>
        <v/>
      </c>
      <c r="S6" s="10" t="str">
        <f>IF(OR($G6&gt;'설정'!$D$8,$H6&lt;'설정'!$C$8),"",IF($L6="완료","완료",IF($M6="지연","지연",IF($M6="주의","주의",IF($J6&gt;0,"진행","계획")))))</f>
        <v>완료</v>
      </c>
      <c r="T6" s="10" t="str">
        <f>IF(OR($G6&gt;'설정'!$D$9,$H6&lt;'설정'!$C$9),"",IF($L6="완료","완료",IF($M6="지연","지연",IF($M6="주의","주의",IF($J6&gt;0,"진행","계획")))))</f>
        <v>완료</v>
      </c>
      <c r="U6" s="10" t="str">
        <f>IF(OR($G6&gt;'설정'!$D$10,$H6&lt;'설정'!$C$10),"",IF($L6="완료","완료",IF($M6="지연","지연",IF($M6="주의","주의",IF($J6&gt;0,"진행","계획")))))</f>
        <v/>
      </c>
      <c r="V6" s="10" t="str">
        <f>IF(OR($G6&gt;'설정'!$D$11,$H6&lt;'설정'!$C$11),"",IF($L6="완료","완료",IF($M6="지연","지연",IF($M6="주의","주의",IF($J6&gt;0,"진행","계획")))))</f>
        <v/>
      </c>
      <c r="W6" s="10" t="str">
        <f>IF(OR($G6&gt;'설정'!$D$12,$H6&lt;'설정'!$C$12),"",IF($L6="완료","완료",IF($M6="지연","지연",IF($M6="주의","주의",IF($J6&gt;0,"진행","계획")))))</f>
        <v/>
      </c>
    </row>
    <row r="7" ht="36.0" customHeight="1">
      <c r="A7" s="3" t="s">
        <v>48</v>
      </c>
      <c r="B7" s="12"/>
      <c r="C7" s="3" t="s">
        <v>49</v>
      </c>
      <c r="D7" s="12"/>
      <c r="E7" s="5" t="s">
        <v>50</v>
      </c>
      <c r="F7" s="5" t="s">
        <v>51</v>
      </c>
      <c r="G7" s="13">
        <v>46202.0</v>
      </c>
      <c r="H7" s="6">
        <v>46214.0</v>
      </c>
      <c r="I7" s="7">
        <v>1.0</v>
      </c>
      <c r="J7" s="7">
        <v>1.0</v>
      </c>
      <c r="K7" s="8">
        <f t="shared" si="1"/>
        <v>1</v>
      </c>
      <c r="L7" s="3" t="str">
        <f t="shared" si="2"/>
        <v>완료</v>
      </c>
      <c r="M7" s="3" t="str">
        <f t="shared" si="3"/>
        <v>정상</v>
      </c>
      <c r="N7" s="9" t="s">
        <v>43</v>
      </c>
      <c r="O7" s="10" t="str">
        <f>IF(OR($G7&gt;'설정'!$D$4,$H7&lt;'설정'!$C$4),"",IF($L7="완료","완료",IF($M7="지연","지연",IF($M7="주의","주의",IF($J7&gt;0,"진행","계획")))))</f>
        <v/>
      </c>
      <c r="P7" s="10" t="str">
        <f>IF(OR($G7&gt;'설정'!$D$5,$H7&lt;'설정'!$C$5),"",IF($L7="완료","완료",IF($M7="지연","지연",IF($M7="주의","주의",IF($J7&gt;0,"진행","계획")))))</f>
        <v/>
      </c>
      <c r="Q7" s="10" t="str">
        <f>IF(OR($G7&gt;'설정'!$D$6,$H7&lt;'설정'!$C$6),"",IF($L7="완료","완료",IF($M7="지연","지연",IF($M7="주의","주의",IF($J7&gt;0,"진행","계획")))))</f>
        <v/>
      </c>
      <c r="R7" s="10" t="str">
        <f>IF(OR($G7&gt;'설정'!$D$7,$H7&lt;'설정'!$C$7),"",IF($L7="완료","완료",IF($M7="지연","지연",IF($M7="주의","주의",IF($J7&gt;0,"진행","계획")))))</f>
        <v>완료</v>
      </c>
      <c r="S7" s="10" t="str">
        <f>IF(OR($G7&gt;'설정'!$D$8,$H7&lt;'설정'!$C$8),"",IF($L7="완료","완료",IF($M7="지연","지연",IF($M7="주의","주의",IF($J7&gt;0,"진행","계획")))))</f>
        <v>완료</v>
      </c>
      <c r="T7" s="10" t="str">
        <f>IF(OR($G7&gt;'설정'!$D$9,$H7&lt;'설정'!$C$9),"",IF($L7="완료","완료",IF($M7="지연","지연",IF($M7="주의","주의",IF($J7&gt;0,"진행","계획")))))</f>
        <v>완료</v>
      </c>
      <c r="U7" s="10" t="str">
        <f>IF(OR($G7&gt;'설정'!$D$10,$H7&lt;'설정'!$C$10),"",IF($L7="완료","완료",IF($M7="지연","지연",IF($M7="주의","주의",IF($J7&gt;0,"진행","계획")))))</f>
        <v/>
      </c>
      <c r="V7" s="10" t="str">
        <f>IF(OR($G7&gt;'설정'!$D$11,$H7&lt;'설정'!$C$11),"",IF($L7="완료","완료",IF($M7="지연","지연",IF($M7="주의","주의",IF($J7&gt;0,"진행","계획")))))</f>
        <v/>
      </c>
      <c r="W7" s="10" t="str">
        <f>IF(OR($G7&gt;'설정'!$D$12,$H7&lt;'설정'!$C$12),"",IF($L7="완료","완료",IF($M7="지연","지연",IF($M7="주의","주의",IF($J7&gt;0,"진행","계획")))))</f>
        <v/>
      </c>
    </row>
    <row r="8" ht="36.0" customHeight="1">
      <c r="A8" s="3" t="s">
        <v>52</v>
      </c>
      <c r="B8" s="4" t="s">
        <v>53</v>
      </c>
      <c r="C8" s="3" t="s">
        <v>54</v>
      </c>
      <c r="D8" s="4" t="s">
        <v>55</v>
      </c>
      <c r="E8" s="5" t="s">
        <v>56</v>
      </c>
      <c r="F8" s="5" t="s">
        <v>57</v>
      </c>
      <c r="G8" s="13">
        <v>46200.0</v>
      </c>
      <c r="H8" s="13">
        <v>46213.0</v>
      </c>
      <c r="I8" s="7">
        <v>1.0</v>
      </c>
      <c r="J8" s="7">
        <v>1.0</v>
      </c>
      <c r="K8" s="8">
        <f t="shared" si="1"/>
        <v>1</v>
      </c>
      <c r="L8" s="3" t="str">
        <f t="shared" si="2"/>
        <v>완료</v>
      </c>
      <c r="M8" s="3" t="str">
        <f t="shared" si="3"/>
        <v>정상</v>
      </c>
      <c r="N8" s="9" t="s">
        <v>58</v>
      </c>
      <c r="O8" s="10" t="str">
        <f>IF(OR($G8&gt;'설정'!$D$4,$H8&lt;'설정'!$C$4),"",IF($L8="완료","완료",IF($M8="지연","지연",IF($M8="주의","주의",IF($J8&gt;0,"진행","계획")))))</f>
        <v/>
      </c>
      <c r="P8" s="10" t="str">
        <f>IF(OR($G8&gt;'설정'!$D$5,$H8&lt;'설정'!$C$5),"",IF($L8="완료","완료",IF($M8="지연","지연",IF($M8="주의","주의",IF($J8&gt;0,"진행","계획")))))</f>
        <v/>
      </c>
      <c r="Q8" s="10" t="str">
        <f>IF(OR($G8&gt;'설정'!$D$6,$H8&lt;'설정'!$C$6),"",IF($L8="완료","완료",IF($M8="지연","지연",IF($M8="주의","주의",IF($J8&gt;0,"진행","계획")))))</f>
        <v>완료</v>
      </c>
      <c r="R8" s="10" t="str">
        <f>IF(OR($G8&gt;'설정'!$D$7,$H8&lt;'설정'!$C$7),"",IF($L8="완료","완료",IF($M8="지연","지연",IF($M8="주의","주의",IF($J8&gt;0,"진행","계획")))))</f>
        <v>완료</v>
      </c>
      <c r="S8" s="10" t="str">
        <f>IF(OR($G8&gt;'설정'!$D$8,$H8&lt;'설정'!$C$8),"",IF($L8="완료","완료",IF($M8="지연","지연",IF($M8="주의","주의",IF($J8&gt;0,"진행","계획")))))</f>
        <v>완료</v>
      </c>
      <c r="T8" s="10" t="str">
        <f>IF(OR($G8&gt;'설정'!$D$9,$H8&lt;'설정'!$C$9),"",IF($L8="완료","완료",IF($M8="지연","지연",IF($M8="주의","주의",IF($J8&gt;0,"진행","계획")))))</f>
        <v>완료</v>
      </c>
      <c r="U8" s="10" t="str">
        <f>IF(OR($G8&gt;'설정'!$D$10,$H8&lt;'설정'!$C$10),"",IF($L8="완료","완료",IF($M8="지연","지연",IF($M8="주의","주의",IF($J8&gt;0,"진행","계획")))))</f>
        <v/>
      </c>
      <c r="V8" s="10" t="str">
        <f>IF(OR($G8&gt;'설정'!$D$11,$H8&lt;'설정'!$C$11),"",IF($L8="완료","완료",IF($M8="지연","지연",IF($M8="주의","주의",IF($J8&gt;0,"진행","계획")))))</f>
        <v/>
      </c>
      <c r="W8" s="10" t="str">
        <f>IF(OR($G8&gt;'설정'!$D$12,$H8&lt;'설정'!$C$12),"",IF($L8="완료","완료",IF($M8="지연","지연",IF($M8="주의","주의",IF($J8&gt;0,"진행","계획")))))</f>
        <v/>
      </c>
    </row>
    <row r="9" ht="36.0" customHeight="1">
      <c r="A9" s="3" t="s">
        <v>59</v>
      </c>
      <c r="B9" s="11"/>
      <c r="C9" s="3" t="s">
        <v>60</v>
      </c>
      <c r="D9" s="11"/>
      <c r="E9" s="5" t="s">
        <v>61</v>
      </c>
      <c r="F9" s="5" t="s">
        <v>62</v>
      </c>
      <c r="G9" s="13">
        <v>46203.0</v>
      </c>
      <c r="H9" s="13">
        <v>46213.0</v>
      </c>
      <c r="I9" s="7">
        <v>1.0</v>
      </c>
      <c r="J9" s="7">
        <v>1.0</v>
      </c>
      <c r="K9" s="8">
        <f t="shared" si="1"/>
        <v>1</v>
      </c>
      <c r="L9" s="3" t="str">
        <f t="shared" si="2"/>
        <v>완료</v>
      </c>
      <c r="M9" s="3" t="str">
        <f t="shared" si="3"/>
        <v>정상</v>
      </c>
      <c r="N9" s="9" t="s">
        <v>58</v>
      </c>
      <c r="O9" s="10" t="str">
        <f>IF(OR($G9&gt;'설정'!$D$4,$H9&lt;'설정'!$C$4),"",IF($L9="완료","완료",IF($M9="지연","지연",IF($M9="주의","주의",IF($J9&gt;0,"진행","계획")))))</f>
        <v/>
      </c>
      <c r="P9" s="10" t="str">
        <f>IF(OR($G9&gt;'설정'!$D$5,$H9&lt;'설정'!$C$5),"",IF($L9="완료","완료",IF($M9="지연","지연",IF($M9="주의","주의",IF($J9&gt;0,"진행","계획")))))</f>
        <v/>
      </c>
      <c r="Q9" s="10" t="str">
        <f>IF(OR($G9&gt;'설정'!$D$6,$H9&lt;'설정'!$C$6),"",IF($L9="완료","완료",IF($M9="지연","지연",IF($M9="주의","주의",IF($J9&gt;0,"진행","계획")))))</f>
        <v/>
      </c>
      <c r="R9" s="10" t="str">
        <f>IF(OR($G9&gt;'설정'!$D$7,$H9&lt;'설정'!$C$7),"",IF($L9="완료","완료",IF($M9="지연","지연",IF($M9="주의","주의",IF($J9&gt;0,"진행","계획")))))</f>
        <v>완료</v>
      </c>
      <c r="S9" s="10" t="str">
        <f>IF(OR($G9&gt;'설정'!$D$8,$H9&lt;'설정'!$C$8),"",IF($L9="완료","완료",IF($M9="지연","지연",IF($M9="주의","주의",IF($J9&gt;0,"진행","계획")))))</f>
        <v>완료</v>
      </c>
      <c r="T9" s="10" t="str">
        <f>IF(OR($G9&gt;'설정'!$D$9,$H9&lt;'설정'!$C$9),"",IF($L9="완료","완료",IF($M9="지연","지연",IF($M9="주의","주의",IF($J9&gt;0,"진행","계획")))))</f>
        <v>완료</v>
      </c>
      <c r="U9" s="10" t="str">
        <f>IF(OR($G9&gt;'설정'!$D$10,$H9&lt;'설정'!$C$10),"",IF($L9="완료","완료",IF($M9="지연","지연",IF($M9="주의","주의",IF($J9&gt;0,"진행","계획")))))</f>
        <v/>
      </c>
      <c r="V9" s="10" t="str">
        <f>IF(OR($G9&gt;'설정'!$D$11,$H9&lt;'설정'!$C$11),"",IF($L9="완료","완료",IF($M9="지연","지연",IF($M9="주의","주의",IF($J9&gt;0,"진행","계획")))))</f>
        <v/>
      </c>
      <c r="W9" s="10" t="str">
        <f>IF(OR($G9&gt;'설정'!$D$12,$H9&lt;'설정'!$C$12),"",IF($L9="완료","완료",IF($M9="지연","지연",IF($M9="주의","주의",IF($J9&gt;0,"진행","계획")))))</f>
        <v/>
      </c>
    </row>
    <row r="10" ht="36.0" customHeight="1">
      <c r="A10" s="3" t="s">
        <v>63</v>
      </c>
      <c r="B10" s="12"/>
      <c r="C10" s="3" t="s">
        <v>64</v>
      </c>
      <c r="D10" s="12"/>
      <c r="E10" s="5" t="s">
        <v>65</v>
      </c>
      <c r="F10" s="5" t="s">
        <v>66</v>
      </c>
      <c r="G10" s="13">
        <v>46204.0</v>
      </c>
      <c r="H10" s="13">
        <v>46215.0</v>
      </c>
      <c r="I10" s="7">
        <v>1.0</v>
      </c>
      <c r="J10" s="7">
        <v>1.0</v>
      </c>
      <c r="K10" s="8">
        <f t="shared" si="1"/>
        <v>1</v>
      </c>
      <c r="L10" s="3" t="str">
        <f t="shared" si="2"/>
        <v>완료</v>
      </c>
      <c r="M10" s="3" t="str">
        <f t="shared" si="3"/>
        <v>정상</v>
      </c>
      <c r="N10" s="9" t="s">
        <v>58</v>
      </c>
      <c r="O10" s="10" t="str">
        <f>IF(OR($G10&gt;'설정'!$D$4,$H10&lt;'설정'!$C$4),"",IF($L10="완료","완료",IF($M10="지연","지연",IF($M10="주의","주의",IF($J10&gt;0,"진행","계획")))))</f>
        <v/>
      </c>
      <c r="P10" s="10" t="str">
        <f>IF(OR($G10&gt;'설정'!$D$5,$H10&lt;'설정'!$C$5),"",IF($L10="완료","완료",IF($M10="지연","지연",IF($M10="주의","주의",IF($J10&gt;0,"진행","계획")))))</f>
        <v/>
      </c>
      <c r="Q10" s="10" t="str">
        <f>IF(OR($G10&gt;'설정'!$D$6,$H10&lt;'설정'!$C$6),"",IF($L10="완료","완료",IF($M10="지연","지연",IF($M10="주의","주의",IF($J10&gt;0,"진행","계획")))))</f>
        <v/>
      </c>
      <c r="R10" s="10" t="str">
        <f>IF(OR($G10&gt;'설정'!$D$7,$H10&lt;'설정'!$C$7),"",IF($L10="완료","완료",IF($M10="지연","지연",IF($M10="주의","주의",IF($J10&gt;0,"진행","계획")))))</f>
        <v/>
      </c>
      <c r="S10" s="10" t="str">
        <f>IF(OR($G10&gt;'설정'!$D$8,$H10&lt;'설정'!$C$8),"",IF($L10="완료","완료",IF($M10="지연","지연",IF($M10="주의","주의",IF($J10&gt;0,"진행","계획")))))</f>
        <v>완료</v>
      </c>
      <c r="T10" s="10" t="str">
        <f>IF(OR($G10&gt;'설정'!$D$9,$H10&lt;'설정'!$C$9),"",IF($L10="완료","완료",IF($M10="지연","지연",IF($M10="주의","주의",IF($J10&gt;0,"진행","계획")))))</f>
        <v>완료</v>
      </c>
      <c r="U10" s="10" t="str">
        <f>IF(OR($G10&gt;'설정'!$D$10,$H10&lt;'설정'!$C$10),"",IF($L10="완료","완료",IF($M10="지연","지연",IF($M10="주의","주의",IF($J10&gt;0,"진행","계획")))))</f>
        <v/>
      </c>
      <c r="V10" s="10" t="str">
        <f>IF(OR($G10&gt;'설정'!$D$11,$H10&lt;'설정'!$C$11),"",IF($L10="완료","완료",IF($M10="지연","지연",IF($M10="주의","주의",IF($J10&gt;0,"진행","계획")))))</f>
        <v/>
      </c>
      <c r="W10" s="10" t="str">
        <f>IF(OR($G10&gt;'설정'!$D$12,$H10&lt;'설정'!$C$12),"",IF($L10="완료","완료",IF($M10="지연","지연",IF($M10="주의","주의",IF($J10&gt;0,"진행","계획")))))</f>
        <v/>
      </c>
    </row>
    <row r="11" ht="36.0" customHeight="1">
      <c r="A11" s="3" t="s">
        <v>67</v>
      </c>
      <c r="B11" s="4" t="s">
        <v>68</v>
      </c>
      <c r="C11" s="3" t="s">
        <v>69</v>
      </c>
      <c r="D11" s="4" t="s">
        <v>70</v>
      </c>
      <c r="E11" s="5" t="s">
        <v>71</v>
      </c>
      <c r="F11" s="5" t="s">
        <v>72</v>
      </c>
      <c r="G11" s="13">
        <v>46203.0</v>
      </c>
      <c r="H11" s="6">
        <v>46210.0</v>
      </c>
      <c r="I11" s="7">
        <v>1.0</v>
      </c>
      <c r="J11" s="7">
        <v>1.0</v>
      </c>
      <c r="K11" s="8">
        <f t="shared" si="1"/>
        <v>1</v>
      </c>
      <c r="L11" s="3" t="str">
        <f t="shared" si="2"/>
        <v>완료</v>
      </c>
      <c r="M11" s="3" t="str">
        <f t="shared" si="3"/>
        <v>정상</v>
      </c>
      <c r="N11" s="9" t="s">
        <v>73</v>
      </c>
      <c r="O11" s="10" t="str">
        <f>IF(OR($G11&gt;'설정'!$D$4,$H11&lt;'설정'!$C$4),"",IF($L11="완료","완료",IF($M11="지연","지연",IF($M11="주의","주의",IF($J11&gt;0,"진행","계획")))))</f>
        <v/>
      </c>
      <c r="P11" s="10" t="str">
        <f>IF(OR($G11&gt;'설정'!$D$5,$H11&lt;'설정'!$C$5),"",IF($L11="완료","완료",IF($M11="지연","지연",IF($M11="주의","주의",IF($J11&gt;0,"진행","계획")))))</f>
        <v/>
      </c>
      <c r="Q11" s="10" t="str">
        <f>IF(OR($G11&gt;'설정'!$D$6,$H11&lt;'설정'!$C$6),"",IF($L11="완료","완료",IF($M11="지연","지연",IF($M11="주의","주의",IF($J11&gt;0,"진행","계획")))))</f>
        <v/>
      </c>
      <c r="R11" s="10" t="s">
        <v>74</v>
      </c>
      <c r="S11" s="10" t="str">
        <f>IF(OR($G11&gt;'설정'!$D$8,$H11&lt;'설정'!$C$8),"",IF($L11="완료","완료",IF($M11="지연","지연",IF($M11="주의","주의",IF($J11&gt;0,"진행","계획")))))</f>
        <v>완료</v>
      </c>
      <c r="T11" s="10" t="str">
        <f>IF(OR($G11&gt;'설정'!$D$9,$H11&lt;'설정'!$C$9),"",IF($L11="완료","완료",IF($M11="지연","지연",IF($M11="주의","주의",IF($J11&gt;0,"진행","계획")))))</f>
        <v>완료</v>
      </c>
      <c r="U11" s="10" t="str">
        <f>IF(OR($G11&gt;'설정'!$D$10,$H11&lt;'설정'!$C$10),"",IF($L11="완료","완료",IF($M11="지연","지연",IF($M11="주의","주의",IF($J11&gt;0,"진행","계획")))))</f>
        <v/>
      </c>
      <c r="V11" s="10" t="str">
        <f>IF(OR($G11&gt;'설정'!$D$11,$H11&lt;'설정'!$C$11),"",IF($L11="완료","완료",IF($M11="지연","지연",IF($M11="주의","주의",IF($J11&gt;0,"진행","계획")))))</f>
        <v/>
      </c>
      <c r="W11" s="10" t="str">
        <f>IF(OR($G11&gt;'설정'!$D$12,$H11&lt;'설정'!$C$12),"",IF($L11="완료","완료",IF($M11="지연","지연",IF($M11="주의","주의",IF($J11&gt;0,"진행","계획")))))</f>
        <v/>
      </c>
    </row>
    <row r="12" ht="36.0" customHeight="1">
      <c r="A12" s="3" t="s">
        <v>75</v>
      </c>
      <c r="B12" s="11"/>
      <c r="C12" s="3" t="s">
        <v>76</v>
      </c>
      <c r="D12" s="11"/>
      <c r="E12" s="5" t="s">
        <v>77</v>
      </c>
      <c r="F12" s="5" t="s">
        <v>78</v>
      </c>
      <c r="G12" s="13">
        <v>46206.0</v>
      </c>
      <c r="H12" s="6">
        <v>46210.0</v>
      </c>
      <c r="I12" s="7">
        <v>1.0</v>
      </c>
      <c r="J12" s="7">
        <v>1.0</v>
      </c>
      <c r="K12" s="8">
        <f t="shared" si="1"/>
        <v>1</v>
      </c>
      <c r="L12" s="3" t="str">
        <f t="shared" si="2"/>
        <v>완료</v>
      </c>
      <c r="M12" s="3" t="str">
        <f t="shared" si="3"/>
        <v>정상</v>
      </c>
      <c r="N12" s="9" t="s">
        <v>73</v>
      </c>
      <c r="O12" s="10" t="str">
        <f>IF(OR($G12&gt;'설정'!$D$4,$H12&lt;'설정'!$C$4),"",IF($L12="완료","완료",IF($M12="지연","지연",IF($M12="주의","주의",IF($J12&gt;0,"진행","계획")))))</f>
        <v/>
      </c>
      <c r="P12" s="10" t="str">
        <f>IF(OR($G12&gt;'설정'!$D$5,$H12&lt;'설정'!$C$5),"",IF($L12="완료","완료",IF($M12="지연","지연",IF($M12="주의","주의",IF($J12&gt;0,"진행","계획")))))</f>
        <v/>
      </c>
      <c r="Q12" s="10" t="str">
        <f>IF(OR($G12&gt;'설정'!$D$6,$H12&lt;'설정'!$C$6),"",IF($L12="완료","완료",IF($M12="지연","지연",IF($M12="주의","주의",IF($J12&gt;0,"진행","계획")))))</f>
        <v/>
      </c>
      <c r="R12" s="10" t="str">
        <f>IF(OR($G12&gt;'설정'!$D$7,$H12&lt;'설정'!$C$7),"",IF($L12="완료","완료",IF($M12="지연","지연",IF($M12="주의","주의",IF($J12&gt;0,"진행","계획")))))</f>
        <v/>
      </c>
      <c r="S12" s="10" t="str">
        <f>IF(OR($G12&gt;'설정'!$D$8,$H12&lt;'설정'!$C$8),"",IF($L12="완료","완료",IF($M12="지연","지연",IF($M12="주의","주의",IF($J12&gt;0,"진행","계획")))))</f>
        <v>완료</v>
      </c>
      <c r="T12" s="10" t="str">
        <f>IF(OR($G12&gt;'설정'!$D$9,$H12&lt;'설정'!$C$9),"",IF($L12="완료","완료",IF($M12="지연","지연",IF($M12="주의","주의",IF($J12&gt;0,"진행","계획")))))</f>
        <v>완료</v>
      </c>
      <c r="U12" s="10" t="str">
        <f>IF(OR($G12&gt;'설정'!$D$10,$H12&lt;'설정'!$C$10),"",IF($L12="완료","완료",IF($M12="지연","지연",IF($M12="주의","주의",IF($J12&gt;0,"진행","계획")))))</f>
        <v/>
      </c>
      <c r="V12" s="10" t="str">
        <f>IF(OR($G12&gt;'설정'!$D$11,$H12&lt;'설정'!$C$11),"",IF($L12="완료","완료",IF($M12="지연","지연",IF($M12="주의","주의",IF($J12&gt;0,"진행","계획")))))</f>
        <v/>
      </c>
      <c r="W12" s="10" t="str">
        <f>IF(OR($G12&gt;'설정'!$D$12,$H12&lt;'설정'!$C$12),"",IF($L12="완료","완료",IF($M12="지연","지연",IF($M12="주의","주의",IF($J12&gt;0,"진행","계획")))))</f>
        <v/>
      </c>
    </row>
    <row r="13" ht="36.0" customHeight="1">
      <c r="A13" s="3" t="s">
        <v>79</v>
      </c>
      <c r="B13" s="12"/>
      <c r="C13" s="3" t="s">
        <v>80</v>
      </c>
      <c r="D13" s="12"/>
      <c r="E13" s="5" t="s">
        <v>81</v>
      </c>
      <c r="F13" s="5" t="s">
        <v>82</v>
      </c>
      <c r="G13" s="6">
        <v>46211.0</v>
      </c>
      <c r="H13" s="6">
        <v>46214.0</v>
      </c>
      <c r="I13" s="7">
        <v>1.0</v>
      </c>
      <c r="J13" s="7">
        <v>1.0</v>
      </c>
      <c r="K13" s="8">
        <f t="shared" si="1"/>
        <v>1</v>
      </c>
      <c r="L13" s="3" t="str">
        <f t="shared" si="2"/>
        <v>완료</v>
      </c>
      <c r="M13" s="3" t="str">
        <f t="shared" si="3"/>
        <v>정상</v>
      </c>
      <c r="N13" s="9" t="s">
        <v>73</v>
      </c>
      <c r="O13" s="10" t="str">
        <f>IF(OR($G13&gt;'설정'!$D$4,$H13&lt;'설정'!$C$4),"",IF($L13="완료","완료",IF($M13="지연","지연",IF($M13="주의","주의",IF($J13&gt;0,"진행","계획")))))</f>
        <v/>
      </c>
      <c r="P13" s="10" t="str">
        <f>IF(OR($G13&gt;'설정'!$D$5,$H13&lt;'설정'!$C$5),"",IF($L13="완료","완료",IF($M13="지연","지연",IF($M13="주의","주의",IF($J13&gt;0,"진행","계획")))))</f>
        <v/>
      </c>
      <c r="Q13" s="10" t="str">
        <f>IF(OR($G13&gt;'설정'!$D$6,$H13&lt;'설정'!$C$6),"",IF($L13="완료","완료",IF($M13="지연","지연",IF($M13="주의","주의",IF($J13&gt;0,"진행","계획")))))</f>
        <v/>
      </c>
      <c r="R13" s="10" t="str">
        <f>IF(OR($G13&gt;'설정'!$D$7,$H13&lt;'설정'!$C$7),"",IF($L13="완료","완료",IF($M13="지연","지연",IF($M13="주의","주의",IF($J13&gt;0,"진행","계획")))))</f>
        <v/>
      </c>
      <c r="S13" s="10" t="str">
        <f>IF(OR($G13&gt;'설정'!$D$8,$H13&lt;'설정'!$C$8),"",IF($L13="완료","완료",IF($M13="지연","지연",IF($M13="주의","주의",IF($J13&gt;0,"진행","계획")))))</f>
        <v/>
      </c>
      <c r="T13" s="10" t="str">
        <f>IF(OR($G13&gt;'설정'!$D$9,$H13&lt;'설정'!$C$9),"",IF($L13="완료","완료",IF($M13="지연","지연",IF($M13="주의","주의",IF($J13&gt;0,"진행","계획")))))</f>
        <v>완료</v>
      </c>
      <c r="U13" s="10" t="str">
        <f>IF(OR($G13&gt;'설정'!$D$10,$H13&lt;'설정'!$C$10),"",IF($L13="완료","완료",IF($M13="지연","지연",IF($M13="주의","주의",IF($J13&gt;0,"진행","계획")))))</f>
        <v/>
      </c>
      <c r="V13" s="10" t="str">
        <f>IF(OR($G13&gt;'설정'!$D$11,$H13&lt;'설정'!$C$11),"",IF($L13="완료","완료",IF($M13="지연","지연",IF($M13="주의","주의",IF($J13&gt;0,"진행","계획")))))</f>
        <v/>
      </c>
      <c r="W13" s="10" t="str">
        <f>IF(OR($G13&gt;'설정'!$D$12,$H13&lt;'설정'!$C$12),"",IF($L13="완료","완료",IF($M13="지연","지연",IF($M13="주의","주의",IF($J13&gt;0,"진행","계획")))))</f>
        <v/>
      </c>
    </row>
    <row r="14" ht="36.0" customHeight="1">
      <c r="A14" s="3" t="s">
        <v>83</v>
      </c>
      <c r="B14" s="4" t="s">
        <v>84</v>
      </c>
      <c r="C14" s="3" t="s">
        <v>85</v>
      </c>
      <c r="D14" s="4" t="s">
        <v>26</v>
      </c>
      <c r="E14" s="5" t="s">
        <v>86</v>
      </c>
      <c r="F14" s="5" t="s">
        <v>87</v>
      </c>
      <c r="G14" s="6">
        <v>46202.0</v>
      </c>
      <c r="H14" s="6">
        <v>46204.0</v>
      </c>
      <c r="I14" s="7">
        <v>1.0</v>
      </c>
      <c r="J14" s="7">
        <v>1.0</v>
      </c>
      <c r="K14" s="8">
        <f t="shared" si="1"/>
        <v>1</v>
      </c>
      <c r="L14" s="3" t="str">
        <f t="shared" si="2"/>
        <v>완료</v>
      </c>
      <c r="M14" s="3" t="str">
        <f t="shared" si="3"/>
        <v>정상</v>
      </c>
      <c r="N14" s="9" t="s">
        <v>88</v>
      </c>
      <c r="O14" s="10" t="str">
        <f>IF(OR($G14&gt;'설정'!$D$4,$H14&lt;'설정'!$C$4),"",IF($L14="완료","완료",IF($M14="지연","지연",IF($M14="주의","주의",IF($J14&gt;0,"진행","계획")))))</f>
        <v/>
      </c>
      <c r="P14" s="10" t="str">
        <f>IF(OR($G14&gt;'설정'!$D$5,$H14&lt;'설정'!$C$5),"",IF($L14="완료","완료",IF($M14="지연","지연",IF($M14="주의","주의",IF($J14&gt;0,"진행","계획")))))</f>
        <v/>
      </c>
      <c r="Q14" s="10" t="str">
        <f>IF(OR($G14&gt;'설정'!$D$6,$H14&lt;'설정'!$C$6),"",IF($L14="완료","완료",IF($M14="지연","지연",IF($M14="주의","주의",IF($J14&gt;0,"진행","계획")))))</f>
        <v/>
      </c>
      <c r="R14" s="10" t="str">
        <f>IF(OR($G14&gt;'설정'!$D$7,$H14&lt;'설정'!$C$7),"",IF($L14="완료","완료",IF($M14="지연","지연",IF($M14="주의","주의",IF($J14&gt;0,"진행","계획")))))</f>
        <v>완료</v>
      </c>
      <c r="S14" s="10" t="str">
        <f>IF(OR($G14&gt;'설정'!$D$8,$H14&lt;'설정'!$C$8),"",IF($L14="완료","완료",IF($M14="지연","지연",IF($M14="주의","주의",IF($J14&gt;0,"진행","계획")))))</f>
        <v>완료</v>
      </c>
      <c r="T14" s="10" t="str">
        <f>IF(OR($G14&gt;'설정'!$D$9,$H14&lt;'설정'!$C$9),"",IF($L14="완료","완료",IF($M14="지연","지연",IF($M14="주의","주의",IF($J14&gt;0,"진행","계획")))))</f>
        <v/>
      </c>
      <c r="U14" s="10" t="str">
        <f>IF(OR($G14&gt;'설정'!$D$10,$H14&lt;'설정'!$C$10),"",IF($L14="완료","완료",IF($M14="지연","지연",IF($M14="주의","주의",IF($J14&gt;0,"진행","계획")))))</f>
        <v/>
      </c>
      <c r="V14" s="10" t="str">
        <f>IF(OR($G14&gt;'설정'!$D$11,$H14&lt;'설정'!$C$11),"",IF($L14="완료","완료",IF($M14="지연","지연",IF($M14="주의","주의",IF($J14&gt;0,"진행","계획")))))</f>
        <v/>
      </c>
      <c r="W14" s="10" t="str">
        <f>IF(OR($G14&gt;'설정'!$D$12,$H14&lt;'설정'!$C$12),"",IF($L14="완료","완료",IF($M14="지연","지연",IF($M14="주의","주의",IF($J14&gt;0,"진행","계획")))))</f>
        <v/>
      </c>
    </row>
    <row r="15" ht="36.0" customHeight="1">
      <c r="A15" s="3" t="s">
        <v>89</v>
      </c>
      <c r="B15" s="11"/>
      <c r="C15" s="3" t="s">
        <v>90</v>
      </c>
      <c r="D15" s="11"/>
      <c r="E15" s="5" t="s">
        <v>91</v>
      </c>
      <c r="F15" s="5" t="s">
        <v>92</v>
      </c>
      <c r="G15" s="6">
        <v>46203.0</v>
      </c>
      <c r="H15" s="6">
        <v>46205.0</v>
      </c>
      <c r="I15" s="7">
        <v>1.0</v>
      </c>
      <c r="J15" s="7">
        <v>1.0</v>
      </c>
      <c r="K15" s="8">
        <f t="shared" si="1"/>
        <v>1</v>
      </c>
      <c r="L15" s="3" t="str">
        <f t="shared" si="2"/>
        <v>완료</v>
      </c>
      <c r="M15" s="3" t="str">
        <f t="shared" si="3"/>
        <v>정상</v>
      </c>
      <c r="N15" s="9" t="s">
        <v>88</v>
      </c>
      <c r="O15" s="10" t="str">
        <f>IF(OR($G15&gt;'설정'!$D$4,$H15&lt;'설정'!$C$4),"",IF($L15="완료","완료",IF($M15="지연","지연",IF($M15="주의","주의",IF($J15&gt;0,"진행","계획")))))</f>
        <v/>
      </c>
      <c r="P15" s="10" t="str">
        <f>IF(OR($G15&gt;'설정'!$D$5,$H15&lt;'설정'!$C$5),"",IF($L15="완료","완료",IF($M15="지연","지연",IF($M15="주의","주의",IF($J15&gt;0,"진행","계획")))))</f>
        <v/>
      </c>
      <c r="Q15" s="10" t="str">
        <f>IF(OR($G15&gt;'설정'!$D$6,$H15&lt;'설정'!$C$6),"",IF($L15="완료","완료",IF($M15="지연","지연",IF($M15="주의","주의",IF($J15&gt;0,"진행","계획")))))</f>
        <v/>
      </c>
      <c r="R15" s="10" t="str">
        <f>IF(OR($G15&gt;'설정'!$D$7,$H15&lt;'설정'!$C$7),"",IF($L15="완료","완료",IF($M15="지연","지연",IF($M15="주의","주의",IF($J15&gt;0,"진행","계획")))))</f>
        <v>완료</v>
      </c>
      <c r="S15" s="10" t="str">
        <f>IF(OR($G15&gt;'설정'!$D$8,$H15&lt;'설정'!$C$8),"",IF($L15="완료","완료",IF($M15="지연","지연",IF($M15="주의","주의",IF($J15&gt;0,"진행","계획")))))</f>
        <v>완료</v>
      </c>
      <c r="T15" s="10" t="str">
        <f>IF(OR($G15&gt;'설정'!$D$9,$H15&lt;'설정'!$C$9),"",IF($L15="완료","완료",IF($M15="지연","지연",IF($M15="주의","주의",IF($J15&gt;0,"진행","계획")))))</f>
        <v/>
      </c>
      <c r="U15" s="10" t="str">
        <f>IF(OR($G15&gt;'설정'!$D$10,$H15&lt;'설정'!$C$10),"",IF($L15="완료","완료",IF($M15="지연","지연",IF($M15="주의","주의",IF($J15&gt;0,"진행","계획")))))</f>
        <v/>
      </c>
      <c r="V15" s="10" t="str">
        <f>IF(OR($G15&gt;'설정'!$D$11,$H15&lt;'설정'!$C$11),"",IF($L15="완료","완료",IF($M15="지연","지연",IF($M15="주의","주의",IF($J15&gt;0,"진행","계획")))))</f>
        <v/>
      </c>
      <c r="W15" s="10" t="str">
        <f>IF(OR($G15&gt;'설정'!$D$12,$H15&lt;'설정'!$C$12),"",IF($L15="완료","완료",IF($M15="지연","지연",IF($M15="주의","주의",IF($J15&gt;0,"진행","계획")))))</f>
        <v/>
      </c>
    </row>
    <row r="16" ht="36.0" customHeight="1">
      <c r="A16" s="3" t="s">
        <v>93</v>
      </c>
      <c r="B16" s="11"/>
      <c r="C16" s="3" t="s">
        <v>94</v>
      </c>
      <c r="D16" s="11"/>
      <c r="E16" s="5" t="s">
        <v>95</v>
      </c>
      <c r="F16" s="5" t="s">
        <v>96</v>
      </c>
      <c r="G16" s="13">
        <v>46204.0</v>
      </c>
      <c r="H16" s="6">
        <v>46206.0</v>
      </c>
      <c r="I16" s="7">
        <v>1.0</v>
      </c>
      <c r="J16" s="7">
        <v>1.0</v>
      </c>
      <c r="K16" s="8">
        <f t="shared" si="1"/>
        <v>1</v>
      </c>
      <c r="L16" s="3" t="str">
        <f t="shared" si="2"/>
        <v>완료</v>
      </c>
      <c r="M16" s="3" t="str">
        <f t="shared" si="3"/>
        <v>정상</v>
      </c>
      <c r="N16" s="9" t="s">
        <v>88</v>
      </c>
      <c r="O16" s="10" t="str">
        <f>IF(OR($G16&gt;'설정'!$D$4,$H16&lt;'설정'!$C$4),"",IF($L16="완료","완료",IF($M16="지연","지연",IF($M16="주의","주의",IF($J16&gt;0,"진행","계획")))))</f>
        <v/>
      </c>
      <c r="P16" s="10" t="str">
        <f>IF(OR($G16&gt;'설정'!$D$5,$H16&lt;'설정'!$C$5),"",IF($L16="완료","완료",IF($M16="지연","지연",IF($M16="주의","주의",IF($J16&gt;0,"진행","계획")))))</f>
        <v/>
      </c>
      <c r="Q16" s="10" t="str">
        <f>IF(OR($G16&gt;'설정'!$D$6,$H16&lt;'설정'!$C$6),"",IF($L16="완료","완료",IF($M16="지연","지연",IF($M16="주의","주의",IF($J16&gt;0,"진행","계획")))))</f>
        <v/>
      </c>
      <c r="R16" s="10" t="str">
        <f>IF(OR($G16&gt;'설정'!$D$7,$H16&lt;'설정'!$C$7),"",IF($L16="완료","완료",IF($M16="지연","지연",IF($M16="주의","주의",IF($J16&gt;0,"진행","계획")))))</f>
        <v/>
      </c>
      <c r="S16" s="10" t="str">
        <f>IF(OR($G16&gt;'설정'!$D$8,$H16&lt;'설정'!$C$8),"",IF($L16="완료","완료",IF($M16="지연","지연",IF($M16="주의","주의",IF($J16&gt;0,"진행","계획")))))</f>
        <v>완료</v>
      </c>
      <c r="T16" s="10" t="str">
        <f>IF(OR($G16&gt;'설정'!$D$9,$H16&lt;'설정'!$C$9),"",IF($L16="완료","완료",IF($M16="지연","지연",IF($M16="주의","주의",IF($J16&gt;0,"진행","계획")))))</f>
        <v/>
      </c>
      <c r="U16" s="10" t="str">
        <f>IF(OR($G16&gt;'설정'!$D$10,$H16&lt;'설정'!$C$10),"",IF($L16="완료","완료",IF($M16="지연","지연",IF($M16="주의","주의",IF($J16&gt;0,"진행","계획")))))</f>
        <v/>
      </c>
      <c r="V16" s="10" t="str">
        <f>IF(OR($G16&gt;'설정'!$D$11,$H16&lt;'설정'!$C$11),"",IF($L16="완료","완료",IF($M16="지연","지연",IF($M16="주의","주의",IF($J16&gt;0,"진행","계획")))))</f>
        <v/>
      </c>
      <c r="W16" s="10" t="str">
        <f>IF(OR($G16&gt;'설정'!$D$12,$H16&lt;'설정'!$C$12),"",IF($L16="완료","완료",IF($M16="지연","지연",IF($M16="주의","주의",IF($J16&gt;0,"진행","계획")))))</f>
        <v/>
      </c>
    </row>
    <row r="17" ht="36.0" customHeight="1">
      <c r="A17" s="3" t="s">
        <v>97</v>
      </c>
      <c r="B17" s="12"/>
      <c r="C17" s="14" t="s">
        <v>98</v>
      </c>
      <c r="D17" s="12"/>
      <c r="E17" s="15" t="s">
        <v>99</v>
      </c>
      <c r="F17" s="16" t="s">
        <v>100</v>
      </c>
      <c r="G17" s="6">
        <v>46206.0</v>
      </c>
      <c r="H17" s="6">
        <v>46214.0</v>
      </c>
      <c r="I17" s="7">
        <v>1.0</v>
      </c>
      <c r="J17" s="7">
        <v>1.0</v>
      </c>
      <c r="K17" s="8">
        <f t="shared" si="1"/>
        <v>1</v>
      </c>
      <c r="L17" s="3" t="str">
        <f t="shared" si="2"/>
        <v>완료</v>
      </c>
      <c r="M17" s="3" t="str">
        <f t="shared" si="3"/>
        <v>정상</v>
      </c>
      <c r="N17" s="17" t="s">
        <v>101</v>
      </c>
      <c r="O17" s="10" t="str">
        <f>IF(OR($G17&gt;'설정'!$D$4,$H17&lt;'설정'!$C$4),"",IF($L17="완료","완료",IF($M17="지연","지연",IF($M17="주의","주의",IF($J17&gt;0,"진행","계획")))))</f>
        <v/>
      </c>
      <c r="P17" s="10" t="str">
        <f>IF(OR($G17&gt;'설정'!$D$5,$H17&lt;'설정'!$C$5),"",IF($L17="완료","완료",IF($M17="지연","지연",IF($M17="주의","주의",IF($J17&gt;0,"진행","계획")))))</f>
        <v/>
      </c>
      <c r="Q17" s="10" t="str">
        <f>IF(OR($G17&gt;'설정'!$D$6,$H17&lt;'설정'!$C$6),"",IF($L17="완료","완료",IF($M17="지연","지연",IF($M17="주의","주의",IF($J17&gt;0,"진행","계획")))))</f>
        <v/>
      </c>
      <c r="R17" s="10" t="str">
        <f>IF(OR($G17&gt;'설정'!$D$7,$H17&lt;'설정'!$C$7),"",IF($L17="완료","완료",IF($M17="지연","지연",IF($M17="주의","주의",IF($J17&gt;0,"진행","계획")))))</f>
        <v/>
      </c>
      <c r="S17" s="10" t="str">
        <f>IF(OR($G17&gt;'설정'!$D$8,$H17&lt;'설정'!$C$8),"",IF($L17="완료","완료",IF($M17="지연","지연",IF($M17="주의","주의",IF($J17&gt;0,"진행","계획")))))</f>
        <v>완료</v>
      </c>
      <c r="T17" s="10" t="str">
        <f>IF(OR($G17&gt;'설정'!$D$9,$H17&lt;'설정'!$C$9),"",IF($L17="완료","완료",IF($M17="지연","지연",IF($M17="주의","주의",IF($J17&gt;0,"진행","계획")))))</f>
        <v>완료</v>
      </c>
      <c r="U17" s="10" t="str">
        <f>IF(OR($G17&gt;'설정'!$D$10,$H17&lt;'설정'!$C$10),"",IF($L17="완료","완료",IF($M17="지연","지연",IF($M17="주의","주의",IF($J17&gt;0,"진행","계획")))))</f>
        <v/>
      </c>
      <c r="V17" s="10" t="str">
        <f>IF(OR($G17&gt;'설정'!$D$11,$H17&lt;'설정'!$C$11),"",IF($L17="완료","완료",IF($M17="지연","지연",IF($M17="주의","주의",IF($J17&gt;0,"진행","계획")))))</f>
        <v/>
      </c>
      <c r="W17" s="18" t="s">
        <v>102</v>
      </c>
    </row>
    <row r="18" ht="36.0" customHeight="1">
      <c r="A18" s="3" t="s">
        <v>103</v>
      </c>
      <c r="B18" s="4" t="s">
        <v>104</v>
      </c>
      <c r="C18" s="3" t="s">
        <v>105</v>
      </c>
      <c r="D18" s="4" t="s">
        <v>106</v>
      </c>
      <c r="E18" s="5" t="s">
        <v>107</v>
      </c>
      <c r="F18" s="5" t="s">
        <v>108</v>
      </c>
      <c r="G18" s="13">
        <v>46204.0</v>
      </c>
      <c r="H18" s="13">
        <v>46218.0</v>
      </c>
      <c r="I18" s="7">
        <v>1.0</v>
      </c>
      <c r="J18" s="7">
        <v>0.9</v>
      </c>
      <c r="K18" s="8">
        <f t="shared" si="1"/>
        <v>0.9</v>
      </c>
      <c r="L18" s="3" t="str">
        <f t="shared" si="2"/>
        <v>진행</v>
      </c>
      <c r="M18" s="3" t="str">
        <f>IF(OR(LEN($I17&amp;"")=0,LEN($J17&amp;"")=0),"",IF($J17&gt;=1,"정상",IF($J17&gt;=$I17,"정상",IF($I17-$J17&gt;0.1,"지연","주의"))))</f>
        <v>정상</v>
      </c>
      <c r="N18" s="9" t="s">
        <v>105</v>
      </c>
      <c r="O18" s="10" t="str">
        <f>IF(OR($G18&gt;'설정'!$D$4,$H18&lt;'설정'!$C$4),"",IF($L18="완료","완료",IF($M18="지연","지연",IF($M18="주의","주의",IF($J18&gt;0,"진행","계획")))))</f>
        <v/>
      </c>
      <c r="P18" s="10" t="str">
        <f>IF(OR($G18&gt;'설정'!$D$5,$H18&lt;'설정'!$C$5),"",IF($L18="완료","완료",IF($M18="지연","지연",IF($M18="주의","주의",IF($J18&gt;0,"진행","계획")))))</f>
        <v/>
      </c>
      <c r="Q18" s="10" t="str">
        <f>IF(OR($G18&gt;'설정'!$D$6,$H18&lt;'설정'!$C$6),"",IF($L18="완료","완료",IF($M18="지연","지연",IF($M18="주의","주의",IF($J18&gt;0,"진행","계획")))))</f>
        <v/>
      </c>
      <c r="R18" s="10" t="str">
        <f>IF(OR($G18&gt;'설정'!$D$7,$H18&lt;'설정'!$C$7),"",IF($L18="완료","완료",IF($M18="지연","지연",IF($M18="주의","주의",IF($J18&gt;0,"진행","계획")))))</f>
        <v/>
      </c>
      <c r="S18" s="10" t="str">
        <f>IF(OR($G17&gt;'설정'!$D$8,$H17&lt;'설정'!$C$8),"",IF($L17="완료","완료",IF($M17="지연","지연",IF($M17="주의","주의",IF($J17&gt;0,"진행","계획")))))</f>
        <v>완료</v>
      </c>
      <c r="T18" s="10" t="str">
        <f>IF(OR($G17&gt;'설정'!$D$8,$H17&lt;'설정'!$C$8),"",IF($L17="완료","완료",IF($M17="지연","지연",IF($M17="주의","주의",IF($J17&gt;0,"진행","계획")))))</f>
        <v>완료</v>
      </c>
      <c r="U18" s="10" t="str">
        <f>IF(OR($G17&gt;'설정'!$D$8,$H17&lt;'설정'!$C$8),"",IF($L17="완료","완료",IF($M17="지연","지연",IF($M17="주의","주의",IF($J17&gt;0,"진행","계획")))))</f>
        <v>완료</v>
      </c>
      <c r="V18" s="10" t="str">
        <f>IF(OR($G18&gt;'설정'!$D$11,$H18&lt;'설정'!$C$11),"",IF($L18="완료","완료",IF($M18="지연","지연",IF($M18="주의","주의",IF($J18&gt;0,"진행","계획")))))</f>
        <v/>
      </c>
      <c r="W18" s="10" t="str">
        <f>IF(OR($G18&gt;'설정'!$D$12,$H18&lt;'설정'!$C$12),"",IF($L18="완료","완료",IF($M18="지연","지연",IF($M18="주의","주의",IF($J18&gt;0,"진행","계획")))))</f>
        <v/>
      </c>
    </row>
    <row r="19" ht="36.0" customHeight="1">
      <c r="A19" s="3" t="s">
        <v>109</v>
      </c>
      <c r="B19" s="11"/>
      <c r="C19" s="3" t="s">
        <v>110</v>
      </c>
      <c r="D19" s="11"/>
      <c r="E19" s="5" t="s">
        <v>111</v>
      </c>
      <c r="F19" s="5" t="s">
        <v>112</v>
      </c>
      <c r="G19" s="13">
        <v>46207.0</v>
      </c>
      <c r="H19" s="13">
        <v>46219.0</v>
      </c>
      <c r="I19" s="7">
        <v>1.0</v>
      </c>
      <c r="J19" s="7">
        <v>1.0</v>
      </c>
      <c r="K19" s="8">
        <f t="shared" si="1"/>
        <v>1</v>
      </c>
      <c r="L19" s="3" t="str">
        <f t="shared" si="2"/>
        <v>완료</v>
      </c>
      <c r="M19" s="3" t="str">
        <f t="shared" ref="M19:M31" si="4">IF(OR(LEN($I19&amp;"")=0,LEN($J19&amp;"")=0),"",IF($J19&gt;=1,"정상",IF($J19&gt;=$I19,"정상",IF($I19-$J19&gt;0.1,"지연","주의"))))</f>
        <v>정상</v>
      </c>
      <c r="N19" s="9" t="s">
        <v>105</v>
      </c>
      <c r="O19" s="10" t="str">
        <f>IF(OR($G19&gt;'설정'!$D$4,$H19&lt;'설정'!$C$4),"",IF($L19="완료","완료",IF($M19="지연","지연",IF($M19="주의","주의",IF($J19&gt;0,"진행","계획")))))</f>
        <v/>
      </c>
      <c r="P19" s="10" t="str">
        <f>IF(OR($G19&gt;'설정'!$D$5,$H19&lt;'설정'!$C$5),"",IF($L19="완료","완료",IF($M19="지연","지연",IF($M19="주의","주의",IF($J19&gt;0,"진행","계획")))))</f>
        <v/>
      </c>
      <c r="Q19" s="10" t="str">
        <f>IF(OR($G19&gt;'설정'!$D$6,$H19&lt;'설정'!$C$6),"",IF($L19="완료","완료",IF($M19="지연","지연",IF($M19="주의","주의",IF($J19&gt;0,"진행","계획")))))</f>
        <v/>
      </c>
      <c r="R19" s="10" t="str">
        <f>IF(OR($G19&gt;'설정'!$D$7,$H19&lt;'설정'!$C$7),"",IF($L19="완료","완료",IF($M19="지연","지연",IF($M19="주의","주의",IF($J19&gt;0,"진행","계획")))))</f>
        <v/>
      </c>
      <c r="S19" s="10" t="str">
        <f>IF(OR($G19&gt;'설정'!$D$8,$H19&lt;'설정'!$C$8),"",IF($L19="완료","완료",IF($M19="지연","지연",IF($M19="주의","주의",IF($J19&gt;0,"진행","계획")))))</f>
        <v>완료</v>
      </c>
      <c r="T19" s="10" t="str">
        <f>IF(OR($G19&gt;'설정'!$D$9,$H19&lt;'설정'!$C$9),"",IF($L19="완료","완료",IF($M19="지연","지연",IF($M19="주의","주의",IF($J19&gt;0,"진행","계획")))))</f>
        <v>완료</v>
      </c>
      <c r="U19" s="10" t="str">
        <f>IF(OR($G19&gt;'설정'!$D$10,$H19&lt;'설정'!$C$10),"",IF($L19="완료","완료",IF($M19="지연","지연",IF($M19="주의","주의",IF($J19&gt;0,"진행","계획")))))</f>
        <v>완료</v>
      </c>
      <c r="V19" s="10" t="str">
        <f>IF(OR($G19&gt;'설정'!$D$11,$H19&lt;'설정'!$C$11),"",IF($L19="완료","완료",IF($M19="지연","지연",IF($M19="주의","주의",IF($J19&gt;0,"진행","계획")))))</f>
        <v/>
      </c>
      <c r="W19" s="10" t="str">
        <f>IF(OR($G19&gt;'설정'!$D$12,$H19&lt;'설정'!$C$12),"",IF($L19="완료","완료",IF($M19="지연","지연",IF($M19="주의","주의",IF($J19&gt;0,"진행","계획")))))</f>
        <v/>
      </c>
    </row>
    <row r="20" ht="36.0" customHeight="1">
      <c r="A20" s="3" t="s">
        <v>113</v>
      </c>
      <c r="B20" s="12"/>
      <c r="C20" s="3" t="s">
        <v>114</v>
      </c>
      <c r="D20" s="12"/>
      <c r="E20" s="5" t="s">
        <v>115</v>
      </c>
      <c r="F20" s="5" t="s">
        <v>116</v>
      </c>
      <c r="G20" s="13">
        <v>46211.0</v>
      </c>
      <c r="H20" s="13">
        <v>46221.0</v>
      </c>
      <c r="I20" s="7">
        <v>1.0</v>
      </c>
      <c r="J20" s="7">
        <v>1.0</v>
      </c>
      <c r="K20" s="8">
        <f t="shared" si="1"/>
        <v>1</v>
      </c>
      <c r="L20" s="3" t="str">
        <f t="shared" si="2"/>
        <v>완료</v>
      </c>
      <c r="M20" s="3" t="str">
        <f t="shared" si="4"/>
        <v>정상</v>
      </c>
      <c r="N20" s="9" t="s">
        <v>105</v>
      </c>
      <c r="O20" s="10" t="str">
        <f>IF(OR($G20&gt;'설정'!$D$4,$H20&lt;'설정'!$C$4),"",IF($L20="완료","완료",IF($M20="지연","지연",IF($M20="주의","주의",IF($J20&gt;0,"진행","계획")))))</f>
        <v/>
      </c>
      <c r="P20" s="10" t="str">
        <f>IF(OR($G20&gt;'설정'!$D$5,$H20&lt;'설정'!$C$5),"",IF($L20="완료","완료",IF($M20="지연","지연",IF($M20="주의","주의",IF($J20&gt;0,"진행","계획")))))</f>
        <v/>
      </c>
      <c r="Q20" s="10" t="str">
        <f>IF(OR($G20&gt;'설정'!$D$6,$H20&lt;'설정'!$C$6),"",IF($L20="완료","완료",IF($M20="지연","지연",IF($M20="주의","주의",IF($J20&gt;0,"진행","계획")))))</f>
        <v/>
      </c>
      <c r="R20" s="10" t="str">
        <f>IF(OR($G20&gt;'설정'!$D$7,$H20&lt;'설정'!$C$7),"",IF($L20="완료","완료",IF($M20="지연","지연",IF($M20="주의","주의",IF($J20&gt;0,"진행","계획")))))</f>
        <v/>
      </c>
      <c r="S20" s="10" t="str">
        <f>IF(OR($G20&gt;'설정'!$D$8,$H20&lt;'설정'!$C$8),"",IF($L20="완료","완료",IF($M20="지연","지연",IF($M20="주의","주의",IF($J20&gt;0,"진행","계획")))))</f>
        <v/>
      </c>
      <c r="T20" s="10" t="str">
        <f>IF(OR($G20&gt;'설정'!$D$9,$H20&lt;'설정'!$C$9),"",IF($L20="완료","완료",IF($M20="지연","지연",IF($M20="주의","주의",IF($J20&gt;0,"진행","계획")))))</f>
        <v>완료</v>
      </c>
      <c r="U20" s="10" t="str">
        <f>IF(OR($G20&gt;'설정'!$D$10,$H20&lt;'설정'!$C$10),"",IF($L20="완료","완료",IF($M20="지연","지연",IF($M20="주의","주의",IF($J20&gt;0,"진행","계획")))))</f>
        <v>완료</v>
      </c>
      <c r="V20" s="10" t="str">
        <f>IF(OR($G20&gt;'설정'!$D$11,$H20&lt;'설정'!$C$11),"",IF($L20="완료","완료",IF($M20="지연","지연",IF($M20="주의","주의",IF($J20&gt;0,"진행","계획")))))</f>
        <v/>
      </c>
      <c r="W20" s="10" t="str">
        <f>IF(OR($G20&gt;'설정'!$D$12,$H20&lt;'설정'!$C$12),"",IF($L20="완료","완료",IF($M20="지연","지연",IF($M20="주의","주의",IF($J20&gt;0,"진행","계획")))))</f>
        <v/>
      </c>
    </row>
    <row r="21" ht="36.0" customHeight="1">
      <c r="A21" s="3" t="s">
        <v>117</v>
      </c>
      <c r="B21" s="4" t="s">
        <v>118</v>
      </c>
      <c r="C21" s="3" t="s">
        <v>119</v>
      </c>
      <c r="D21" s="4" t="s">
        <v>120</v>
      </c>
      <c r="E21" s="5" t="s">
        <v>121</v>
      </c>
      <c r="F21" s="5" t="s">
        <v>122</v>
      </c>
      <c r="G21" s="6">
        <v>46202.0</v>
      </c>
      <c r="H21" s="6">
        <v>46206.0</v>
      </c>
      <c r="I21" s="7">
        <v>1.0</v>
      </c>
      <c r="J21" s="7">
        <v>1.0</v>
      </c>
      <c r="K21" s="8">
        <f t="shared" si="1"/>
        <v>1</v>
      </c>
      <c r="L21" s="3" t="str">
        <f t="shared" si="2"/>
        <v>완료</v>
      </c>
      <c r="M21" s="3" t="str">
        <f t="shared" si="4"/>
        <v>정상</v>
      </c>
      <c r="N21" s="9" t="s">
        <v>123</v>
      </c>
      <c r="O21" s="10" t="str">
        <f>IF(OR($G21&gt;'설정'!$D$4,$H21&lt;'설정'!$C$4),"",IF($L21="완료","완료",IF($M21="지연","지연",IF($M21="주의","주의",IF($J21&gt;0,"진행","계획")))))</f>
        <v/>
      </c>
      <c r="P21" s="10" t="str">
        <f>IF(OR($G21&gt;'설정'!$D$5,$H21&lt;'설정'!$C$5),"",IF($L21="완료","완료",IF($M21="지연","지연",IF($M21="주의","주의",IF($J21&gt;0,"진행","계획")))))</f>
        <v/>
      </c>
      <c r="Q21" s="10" t="str">
        <f>IF(OR($G21&gt;'설정'!$D$6,$H21&lt;'설정'!$C$6),"",IF($L21="완료","완료",IF($M21="지연","지연",IF($M21="주의","주의",IF($J21&gt;0,"진행","계획")))))</f>
        <v/>
      </c>
      <c r="R21" s="10" t="str">
        <f>IF(OR($G21&gt;'설정'!$D$7,$H21&lt;'설정'!$C$7),"",IF($L21="완료","완료",IF($M21="지연","지연",IF($M21="주의","주의",IF($J21&gt;0,"진행","계획")))))</f>
        <v>완료</v>
      </c>
      <c r="S21" s="10" t="str">
        <f>IF(OR($G21&gt;'설정'!$D$8,$H21&lt;'설정'!$C$8),"",IF($L21="완료","완료",IF($M21="지연","지연",IF($M21="주의","주의",IF($J21&gt;0,"진행","계획")))))</f>
        <v>완료</v>
      </c>
      <c r="T21" s="10" t="str">
        <f>IF(OR($G21&gt;'설정'!$D$9,$H21&lt;'설정'!$C$9),"",IF($L21="완료","완료",IF($M21="지연","지연",IF($M21="주의","주의",IF($J21&gt;0,"진행","계획")))))</f>
        <v/>
      </c>
      <c r="U21" s="10" t="str">
        <f>IF(OR($G21&gt;'설정'!$D$10,$H21&lt;'설정'!$C$10),"",IF($L21="완료","완료",IF($M21="지연","지연",IF($M21="주의","주의",IF($J21&gt;0,"진행","계획")))))</f>
        <v/>
      </c>
      <c r="V21" s="10" t="str">
        <f>IF(OR($G21&gt;'설정'!$D$11,$H21&lt;'설정'!$C$11),"",IF($L21="완료","완료",IF($M21="지연","지연",IF($M21="주의","주의",IF($J21&gt;0,"진행","계획")))))</f>
        <v/>
      </c>
      <c r="W21" s="10" t="str">
        <f>IF(OR($G21&gt;'설정'!$D$12,$H21&lt;'설정'!$C$12),"",IF($L21="완료","완료",IF($M21="지연","지연",IF($M21="주의","주의",IF($J21&gt;0,"진행","계획")))))</f>
        <v/>
      </c>
    </row>
    <row r="22" ht="36.0" customHeight="1">
      <c r="A22" s="3" t="s">
        <v>124</v>
      </c>
      <c r="B22" s="11"/>
      <c r="C22" s="3" t="s">
        <v>125</v>
      </c>
      <c r="D22" s="11"/>
      <c r="E22" s="5" t="s">
        <v>126</v>
      </c>
      <c r="F22" s="5" t="s">
        <v>127</v>
      </c>
      <c r="G22" s="6">
        <v>46203.0</v>
      </c>
      <c r="H22" s="6">
        <v>46206.0</v>
      </c>
      <c r="I22" s="7">
        <v>1.0</v>
      </c>
      <c r="J22" s="7">
        <v>1.0</v>
      </c>
      <c r="K22" s="8">
        <f t="shared" si="1"/>
        <v>1</v>
      </c>
      <c r="L22" s="3" t="str">
        <f t="shared" si="2"/>
        <v>완료</v>
      </c>
      <c r="M22" s="3" t="str">
        <f t="shared" si="4"/>
        <v>정상</v>
      </c>
      <c r="N22" s="9" t="s">
        <v>123</v>
      </c>
      <c r="O22" s="10" t="str">
        <f>IF(OR($G22&gt;'설정'!$D$4,$H22&lt;'설정'!$C$4),"",IF($L22="완료","완료",IF($M22="지연","지연",IF($M22="주의","주의",IF($J22&gt;0,"진행","계획")))))</f>
        <v/>
      </c>
      <c r="P22" s="10" t="str">
        <f>IF(OR($G22&gt;'설정'!$D$5,$H22&lt;'설정'!$C$5),"",IF($L22="완료","완료",IF($M22="지연","지연",IF($M22="주의","주의",IF($J22&gt;0,"진행","계획")))))</f>
        <v/>
      </c>
      <c r="Q22" s="10" t="str">
        <f>IF(OR($G22&gt;'설정'!$D$6,$H22&lt;'설정'!$C$6),"",IF($L22="완료","완료",IF($M22="지연","지연",IF($M22="주의","주의",IF($J22&gt;0,"진행","계획")))))</f>
        <v/>
      </c>
      <c r="R22" s="10" t="str">
        <f>IF(OR($G22&gt;'설정'!$D$7,$H22&lt;'설정'!$C$7),"",IF($L22="완료","완료",IF($M22="지연","지연",IF($M22="주의","주의",IF($J22&gt;0,"진행","계획")))))</f>
        <v>완료</v>
      </c>
      <c r="S22" s="10" t="str">
        <f>IF(OR($G22&gt;'설정'!$D$8,$H22&lt;'설정'!$C$8),"",IF($L22="완료","완료",IF($M22="지연","지연",IF($M22="주의","주의",IF($J22&gt;0,"진행","계획")))))</f>
        <v>완료</v>
      </c>
      <c r="T22" s="10" t="str">
        <f>IF(OR($G22&gt;'설정'!$D$9,$H22&lt;'설정'!$C$9),"",IF($L22="완료","완료",IF($M22="지연","지연",IF($M22="주의","주의",IF($J22&gt;0,"진행","계획")))))</f>
        <v/>
      </c>
      <c r="U22" s="10" t="str">
        <f>IF(OR($G22&gt;'설정'!$D$10,$H22&lt;'설정'!$C$10),"",IF($L22="완료","완료",IF($M22="지연","지연",IF($M22="주의","주의",IF($J22&gt;0,"진행","계획")))))</f>
        <v/>
      </c>
      <c r="V22" s="10" t="str">
        <f>IF(OR($G22&gt;'설정'!$D$11,$H22&lt;'설정'!$C$11),"",IF($L22="완료","완료",IF($M22="지연","지연",IF($M22="주의","주의",IF($J22&gt;0,"진행","계획")))))</f>
        <v/>
      </c>
      <c r="W22" s="10" t="str">
        <f>IF(OR($G22&gt;'설정'!$D$12,$H22&lt;'설정'!$C$12),"",IF($L22="완료","완료",IF($M22="지연","지연",IF($M22="주의","주의",IF($J22&gt;0,"진행","계획")))))</f>
        <v/>
      </c>
    </row>
    <row r="23" ht="36.0" customHeight="1">
      <c r="A23" s="3" t="s">
        <v>128</v>
      </c>
      <c r="B23" s="12"/>
      <c r="C23" s="3" t="s">
        <v>129</v>
      </c>
      <c r="D23" s="12"/>
      <c r="E23" s="5" t="s">
        <v>130</v>
      </c>
      <c r="F23" s="5" t="s">
        <v>131</v>
      </c>
      <c r="G23" s="6">
        <v>46204.0</v>
      </c>
      <c r="H23" s="6">
        <v>46215.0</v>
      </c>
      <c r="I23" s="7">
        <v>1.0</v>
      </c>
      <c r="J23" s="7">
        <v>1.0</v>
      </c>
      <c r="K23" s="8">
        <f t="shared" si="1"/>
        <v>1</v>
      </c>
      <c r="L23" s="3" t="str">
        <f t="shared" si="2"/>
        <v>완료</v>
      </c>
      <c r="M23" s="3" t="str">
        <f t="shared" si="4"/>
        <v>정상</v>
      </c>
      <c r="N23" s="9" t="s">
        <v>132</v>
      </c>
      <c r="O23" s="10" t="str">
        <f>IF(OR($G23&gt;'설정'!$D$4,$H23&lt;'설정'!$C$4),"",IF($L23="완료","완료",IF($M23="지연","지연",IF($M23="주의","주의",IF($J23&gt;0,"진행","계획")))))</f>
        <v/>
      </c>
      <c r="P23" s="10" t="str">
        <f>IF(OR($G23&gt;'설정'!$D$5,$H23&lt;'설정'!$C$5),"",IF($L23="완료","완료",IF($M23="지연","지연",IF($M23="주의","주의",IF($J23&gt;0,"진행","계획")))))</f>
        <v/>
      </c>
      <c r="Q23" s="10" t="str">
        <f>IF(OR($G23&gt;'설정'!$D$6,$H23&lt;'설정'!$C$6),"",IF($L23="완료","완료",IF($M23="지연","지연",IF($M23="주의","주의",IF($J23&gt;0,"진행","계획")))))</f>
        <v/>
      </c>
      <c r="R23" s="10" t="str">
        <f>IF(OR($G23&gt;'설정'!$D$7,$H23&lt;'설정'!$C$7),"",IF($L23="완료","완료",IF($M23="지연","지연",IF($M23="주의","주의",IF($J23&gt;0,"진행","계획")))))</f>
        <v/>
      </c>
      <c r="S23" s="10" t="str">
        <f>IF(OR($G23&gt;'설정'!$D$8,$H23&lt;'설정'!$C$8),"",IF($L23="완료","완료",IF($M23="지연","지연",IF($M23="주의","주의",IF($J23&gt;0,"진행","계획")))))</f>
        <v>완료</v>
      </c>
      <c r="T23" s="10" t="str">
        <f>IF(OR($G23&gt;'설정'!$D$9,$H23&lt;'설정'!$C$9),"",IF($L23="완료","완료",IF($M23="지연","지연",IF($M23="주의","주의",IF($J23&gt;0,"진행","계획")))))</f>
        <v>완료</v>
      </c>
      <c r="U23" s="10" t="str">
        <f>IF(OR($G23&gt;'설정'!$D$10,$H23&lt;'설정'!$C$10),"",IF($L23="완료","완료",IF($M23="지연","지연",IF($M23="주의","주의",IF($J23&gt;0,"진행","계획")))))</f>
        <v/>
      </c>
      <c r="V23" s="10" t="str">
        <f>IF(OR($G23&gt;'설정'!$D$11,$H23&lt;'설정'!$C$11),"",IF($L23="완료","완료",IF($M23="지연","지연",IF($M23="주의","주의",IF($J23&gt;0,"진행","계획")))))</f>
        <v/>
      </c>
      <c r="W23" s="10" t="str">
        <f>IF(OR($G23&gt;'설정'!$D$12,$H23&lt;'설정'!$C$12),"",IF($L23="완료","완료",IF($M23="지연","지연",IF($M23="주의","주의",IF($J23&gt;0,"진행","계획")))))</f>
        <v/>
      </c>
    </row>
    <row r="24" ht="36.0" customHeight="1">
      <c r="A24" s="3" t="s">
        <v>133</v>
      </c>
      <c r="B24" s="4" t="s">
        <v>134</v>
      </c>
      <c r="C24" s="3" t="s">
        <v>135</v>
      </c>
      <c r="D24" s="4" t="s">
        <v>136</v>
      </c>
      <c r="E24" s="5" t="s">
        <v>137</v>
      </c>
      <c r="F24" s="5" t="s">
        <v>138</v>
      </c>
      <c r="G24" s="6">
        <v>46202.0</v>
      </c>
      <c r="H24" s="6">
        <v>46210.0</v>
      </c>
      <c r="I24" s="7">
        <v>1.0</v>
      </c>
      <c r="J24" s="7">
        <v>1.0</v>
      </c>
      <c r="K24" s="8">
        <f t="shared" si="1"/>
        <v>1</v>
      </c>
      <c r="L24" s="3" t="str">
        <f t="shared" si="2"/>
        <v>완료</v>
      </c>
      <c r="M24" s="3" t="str">
        <f t="shared" si="4"/>
        <v>정상</v>
      </c>
      <c r="N24" s="9" t="s">
        <v>135</v>
      </c>
      <c r="O24" s="10" t="str">
        <f>IF(OR($G24&gt;'설정'!$D$4,$H24&lt;'설정'!$C$4),"",IF($L24="완료","완료",IF($M24="지연","지연",IF($M24="주의","주의",IF($J24&gt;0,"진행","계획")))))</f>
        <v/>
      </c>
      <c r="P24" s="10" t="str">
        <f>IF(OR($G24&gt;'설정'!$D$5,$H24&lt;'설정'!$C$5),"",IF($L24="완료","완료",IF($M24="지연","지연",IF($M24="주의","주의",IF($J24&gt;0,"진행","계획")))))</f>
        <v/>
      </c>
      <c r="Q24" s="10" t="str">
        <f>IF(OR($G24&gt;'설정'!$D$6,$H24&lt;'설정'!$C$6),"",IF($L24="완료","완료",IF($M24="지연","지연",IF($M24="주의","주의",IF($J24&gt;0,"진행","계획")))))</f>
        <v/>
      </c>
      <c r="R24" s="10" t="str">
        <f>IF(OR($G24&gt;'설정'!$D$7,$H24&lt;'설정'!$C$7),"",IF($L24="완료","완료",IF($M24="지연","지연",IF($M24="주의","주의",IF($J24&gt;0,"진행","계획")))))</f>
        <v>완료</v>
      </c>
      <c r="S24" s="10" t="str">
        <f>IF(OR($G24&gt;'설정'!$D$8,$H24&lt;'설정'!$C$8),"",IF($L24="완료","완료",IF($M24="지연","지연",IF($M24="주의","주의",IF($J24&gt;0,"진행","계획")))))</f>
        <v>완료</v>
      </c>
      <c r="T24" s="10" t="str">
        <f>IF(OR($G24&gt;'설정'!$D$9,$H24&lt;'설정'!$C$9),"",IF($L24="완료","완료",IF($M24="지연","지연",IF($M24="주의","주의",IF($J24&gt;0,"진행","계획")))))</f>
        <v>완료</v>
      </c>
      <c r="U24" s="10" t="str">
        <f>IF(OR($G24&gt;'설정'!$D$10,$H24&lt;'설정'!$C$10),"",IF($L24="완료","완료",IF($M24="지연","지연",IF($M24="주의","주의",IF($J24&gt;0,"진행","계획")))))</f>
        <v/>
      </c>
      <c r="V24" s="10" t="str">
        <f>IF(OR($G24&gt;'설정'!$D$11,$H24&lt;'설정'!$C$11),"",IF($L24="완료","완료",IF($M24="지연","지연",IF($M24="주의","주의",IF($J24&gt;0,"진행","계획")))))</f>
        <v/>
      </c>
      <c r="W24" s="10" t="str">
        <f>IF(OR($G24&gt;'설정'!$D$12,$H24&lt;'설정'!$C$12),"",IF($L24="완료","완료",IF($M24="지연","지연",IF($M24="주의","주의",IF($J24&gt;0,"진행","계획")))))</f>
        <v/>
      </c>
    </row>
    <row r="25" ht="36.0" customHeight="1">
      <c r="A25" s="3" t="s">
        <v>139</v>
      </c>
      <c r="B25" s="11"/>
      <c r="C25" s="3" t="s">
        <v>140</v>
      </c>
      <c r="D25" s="11"/>
      <c r="E25" s="5" t="s">
        <v>141</v>
      </c>
      <c r="F25" s="5" t="s">
        <v>142</v>
      </c>
      <c r="G25" s="6">
        <v>46202.0</v>
      </c>
      <c r="H25" s="6">
        <v>46210.0</v>
      </c>
      <c r="I25" s="7">
        <v>1.0</v>
      </c>
      <c r="J25" s="7">
        <v>1.0</v>
      </c>
      <c r="K25" s="8">
        <f t="shared" si="1"/>
        <v>1</v>
      </c>
      <c r="L25" s="3" t="str">
        <f t="shared" si="2"/>
        <v>완료</v>
      </c>
      <c r="M25" s="3" t="str">
        <f t="shared" si="4"/>
        <v>정상</v>
      </c>
      <c r="N25" s="9" t="s">
        <v>135</v>
      </c>
      <c r="O25" s="10" t="str">
        <f>IF(OR($G25&gt;'설정'!$D$4,$H25&lt;'설정'!$C$4),"",IF($L25="완료","완료",IF($M25="지연","지연",IF($M25="주의","주의",IF($J25&gt;0,"진행","계획")))))</f>
        <v/>
      </c>
      <c r="P25" s="10" t="str">
        <f>IF(OR($G25&gt;'설정'!$D$5,$H25&lt;'설정'!$C$5),"",IF($L25="완료","완료",IF($M25="지연","지연",IF($M25="주의","주의",IF($J25&gt;0,"진행","계획")))))</f>
        <v/>
      </c>
      <c r="Q25" s="10" t="str">
        <f>IF(OR($G25&gt;'설정'!$D$6,$H25&lt;'설정'!$C$6),"",IF($L25="완료","완료",IF($M25="지연","지연",IF($M25="주의","주의",IF($J25&gt;0,"진행","계획")))))</f>
        <v/>
      </c>
      <c r="R25" s="10" t="str">
        <f>IF(OR($G25&gt;'설정'!$D$7,$H25&lt;'설정'!$C$7),"",IF($L25="완료","완료",IF($M25="지연","지연",IF($M25="주의","주의",IF($J25&gt;0,"진행","계획")))))</f>
        <v>완료</v>
      </c>
      <c r="S25" s="10" t="str">
        <f>IF(OR($G25&gt;'설정'!$D$8,$H25&lt;'설정'!$C$8),"",IF($L25="완료","완료",IF($M25="지연","지연",IF($M25="주의","주의",IF($J25&gt;0,"진행","계획")))))</f>
        <v>완료</v>
      </c>
      <c r="T25" s="10" t="str">
        <f>IF(OR($G25&gt;'설정'!$D$9,$H25&lt;'설정'!$C$9),"",IF($L25="완료","완료",IF($M25="지연","지연",IF($M25="주의","주의",IF($J25&gt;0,"진행","계획")))))</f>
        <v>완료</v>
      </c>
      <c r="U25" s="10" t="str">
        <f>IF(OR($G25&gt;'설정'!$D$10,$H25&lt;'설정'!$C$10),"",IF($L25="완료","완료",IF($M25="지연","지연",IF($M25="주의","주의",IF($J25&gt;0,"진행","계획")))))</f>
        <v/>
      </c>
      <c r="V25" s="10" t="str">
        <f>IF(OR($G25&gt;'설정'!$D$11,$H25&lt;'설정'!$C$11),"",IF($L25="완료","완료",IF($M25="지연","지연",IF($M25="주의","주의",IF($J25&gt;0,"진행","계획")))))</f>
        <v/>
      </c>
      <c r="W25" s="10" t="str">
        <f>IF(OR($G25&gt;'설정'!$D$12,$H25&lt;'설정'!$C$12),"",IF($L25="완료","완료",IF($M25="지연","지연",IF($M25="주의","주의",IF($J25&gt;0,"진행","계획")))))</f>
        <v/>
      </c>
    </row>
    <row r="26" ht="36.0" customHeight="1">
      <c r="A26" s="3" t="s">
        <v>143</v>
      </c>
      <c r="B26" s="12"/>
      <c r="C26" s="3" t="s">
        <v>144</v>
      </c>
      <c r="D26" s="12"/>
      <c r="E26" s="5" t="s">
        <v>145</v>
      </c>
      <c r="F26" s="5" t="s">
        <v>146</v>
      </c>
      <c r="G26" s="6">
        <v>46202.0</v>
      </c>
      <c r="H26" s="6">
        <v>46213.0</v>
      </c>
      <c r="I26" s="7">
        <v>1.0</v>
      </c>
      <c r="J26" s="7">
        <v>1.0</v>
      </c>
      <c r="K26" s="8">
        <f t="shared" si="1"/>
        <v>1</v>
      </c>
      <c r="L26" s="3" t="str">
        <f t="shared" si="2"/>
        <v>완료</v>
      </c>
      <c r="M26" s="3" t="str">
        <f t="shared" si="4"/>
        <v>정상</v>
      </c>
      <c r="N26" s="9" t="s">
        <v>147</v>
      </c>
      <c r="O26" s="10" t="str">
        <f>IF(OR($G26&gt;'설정'!$D$4,$H26&lt;'설정'!$C$4),"",IF($L26="완료","완료",IF($M26="지연","지연",IF($M26="주의","주의",IF($J26&gt;0,"진행","계획")))))</f>
        <v/>
      </c>
      <c r="P26" s="10" t="str">
        <f>IF(OR($G26&gt;'설정'!$D$5,$H26&lt;'설정'!$C$5),"",IF($L26="완료","완료",IF($M26="지연","지연",IF($M26="주의","주의",IF($J26&gt;0,"진행","계획")))))</f>
        <v/>
      </c>
      <c r="Q26" s="10" t="str">
        <f>IF(OR($G26&gt;'설정'!$D$6,$H26&lt;'설정'!$C$6),"",IF($L26="완료","완료",IF($M26="지연","지연",IF($M26="주의","주의",IF($J26&gt;0,"진행","계획")))))</f>
        <v/>
      </c>
      <c r="R26" s="10" t="str">
        <f>IF(OR($G26&gt;'설정'!$D$7,$H26&lt;'설정'!$C$7),"",IF($L26="완료","완료",IF($M26="지연","지연",IF($M26="주의","주의",IF($J26&gt;0,"진행","계획")))))</f>
        <v>완료</v>
      </c>
      <c r="S26" s="10" t="str">
        <f>IF(OR($G26&gt;'설정'!$D$8,$H26&lt;'설정'!$C$8),"",IF($L26="완료","완료",IF($M26="지연","지연",IF($M26="주의","주의",IF($J26&gt;0,"진행","계획")))))</f>
        <v>완료</v>
      </c>
      <c r="T26" s="10" t="str">
        <f>IF(OR($G26&gt;'설정'!$D$9,$H26&lt;'설정'!$C$9),"",IF($L26="완료","완료",IF($M26="지연","지연",IF($M26="주의","주의",IF($J26&gt;0,"진행","계획")))))</f>
        <v>완료</v>
      </c>
      <c r="U26" s="10" t="str">
        <f>IF(OR($G26&gt;'설정'!$D$10,$H26&lt;'설정'!$C$10),"",IF($L26="완료","완료",IF($M26="지연","지연",IF($M26="주의","주의",IF($J26&gt;0,"진행","계획")))))</f>
        <v/>
      </c>
      <c r="V26" s="10" t="str">
        <f>IF(OR($G26&gt;'설정'!$D$11,$H26&lt;'설정'!$C$11),"",IF($L26="완료","완료",IF($M26="지연","지연",IF($M26="주의","주의",IF($J26&gt;0,"진행","계획")))))</f>
        <v/>
      </c>
      <c r="W26" s="10" t="str">
        <f>IF(OR($G26&gt;'설정'!$D$12,$H26&lt;'설정'!$C$12),"",IF($L26="완료","완료",IF($M26="지연","지연",IF($M26="주의","주의",IF($J26&gt;0,"진행","계획")))))</f>
        <v/>
      </c>
    </row>
    <row r="27" ht="36.0" customHeight="1">
      <c r="A27" s="3" t="s">
        <v>148</v>
      </c>
      <c r="B27" s="14" t="s">
        <v>149</v>
      </c>
      <c r="C27" s="14" t="s">
        <v>150</v>
      </c>
      <c r="D27" s="14" t="s">
        <v>149</v>
      </c>
      <c r="E27" s="15" t="s">
        <v>151</v>
      </c>
      <c r="F27" s="15" t="s">
        <v>152</v>
      </c>
      <c r="G27" s="6">
        <v>46202.0</v>
      </c>
      <c r="H27" s="6">
        <v>46214.0</v>
      </c>
      <c r="I27" s="7">
        <v>1.0</v>
      </c>
      <c r="J27" s="7">
        <v>1.0</v>
      </c>
      <c r="K27" s="8">
        <f t="shared" si="1"/>
        <v>1</v>
      </c>
      <c r="L27" s="3" t="str">
        <f t="shared" si="2"/>
        <v>완료</v>
      </c>
      <c r="M27" s="3" t="str">
        <f t="shared" si="4"/>
        <v>정상</v>
      </c>
      <c r="N27" s="17" t="s">
        <v>101</v>
      </c>
      <c r="O27" s="10" t="str">
        <f>IF(OR($G27&gt;'설정'!$D$4,$H27&lt;'설정'!$C$4),"",IF($L27="완료","완료",IF($M27="지연","지연",IF($M27="주의","주의",IF($J27&gt;0,"진행","계획")))))</f>
        <v/>
      </c>
      <c r="P27" s="10" t="str">
        <f>IF(OR($G27&gt;'설정'!$D$5,$H27&lt;'설정'!$C$5),"",IF($L27="완료","완료",IF($M27="지연","지연",IF($M27="주의","주의",IF($J27&gt;0,"진행","계획")))))</f>
        <v/>
      </c>
      <c r="Q27" s="10" t="str">
        <f>IF(OR($G27&gt;'설정'!$D$6,$H27&lt;'설정'!$C$6),"",IF($L27="완료","완료",IF($M27="지연","지연",IF($M27="주의","주의",IF($J27&gt;0,"진행","계획")))))</f>
        <v/>
      </c>
      <c r="R27" s="10" t="str">
        <f>IF(OR($G27&gt;'설정'!$D$7,$H27&lt;'설정'!$C$7),"",IF($L27="완료","완료",IF($M27="지연","지연",IF($M27="주의","주의",IF($J27&gt;0,"진행","계획")))))</f>
        <v>완료</v>
      </c>
      <c r="S27" s="10" t="str">
        <f>IF(OR($G27&gt;'설정'!$D$8,$H27&lt;'설정'!$C$8),"",IF($L27="완료","완료",IF($M27="지연","지연",IF($M27="주의","주의",IF($J27&gt;0,"진행","계획")))))</f>
        <v>완료</v>
      </c>
      <c r="T27" s="10" t="str">
        <f>IF(OR($G27&gt;'설정'!$D$9,$H27&lt;'설정'!$C$9),"",IF($L27="완료","완료",IF($M27="지연","지연",IF($M27="주의","주의",IF($J27&gt;0,"진행","계획")))))</f>
        <v>완료</v>
      </c>
      <c r="U27" s="10" t="str">
        <f>IF(OR($G27&gt;'설정'!$D$10,$H27&lt;'설정'!$C$10),"",IF($L27="완료","완료",IF($M27="지연","지연",IF($M27="주의","주의",IF($J27&gt;0,"진행","계획")))))</f>
        <v/>
      </c>
      <c r="V27" s="10" t="str">
        <f>IF(OR($G27&gt;'설정'!$D$11,$H27&lt;'설정'!$C$11),"",IF($L27="완료","완료",IF($M27="지연","지연",IF($M27="주의","주의",IF($J27&gt;0,"진행","계획")))))</f>
        <v/>
      </c>
      <c r="W27" s="10" t="str">
        <f>IF(OR($G27&gt;'설정'!$D$12,$H27&lt;'설정'!$C$12),"",IF($L27="완료","완료",IF($M27="지연","지연",IF($M27="주의","주의",IF($J27&gt;0,"진행","계획")))))</f>
        <v/>
      </c>
    </row>
    <row r="28" ht="30.75" customHeight="1">
      <c r="A28" s="14" t="s">
        <v>153</v>
      </c>
      <c r="B28" s="19" t="s">
        <v>154</v>
      </c>
      <c r="C28" s="20" t="s">
        <v>155</v>
      </c>
      <c r="D28" s="14" t="s">
        <v>149</v>
      </c>
      <c r="E28" s="15" t="s">
        <v>156</v>
      </c>
      <c r="F28" s="15" t="s">
        <v>157</v>
      </c>
      <c r="G28" s="6">
        <v>46214.0</v>
      </c>
      <c r="H28" s="6">
        <v>46221.0</v>
      </c>
      <c r="I28" s="7">
        <v>1.0</v>
      </c>
      <c r="J28" s="7">
        <v>1.0</v>
      </c>
      <c r="K28" s="8">
        <f t="shared" si="1"/>
        <v>1</v>
      </c>
      <c r="L28" s="3" t="str">
        <f t="shared" si="2"/>
        <v>완료</v>
      </c>
      <c r="M28" s="3" t="str">
        <f t="shared" si="4"/>
        <v>정상</v>
      </c>
      <c r="N28" s="17" t="s">
        <v>158</v>
      </c>
      <c r="O28" s="10" t="str">
        <f>IF(OR($G28&gt;'설정'!$D$4,$H28&lt;'설정'!$C$4),"",IF($L28="완료","완료",IF($M28="지연","지연",IF($M28="주의","주의",IF($J28&gt;0,"진행","계획")))))</f>
        <v/>
      </c>
      <c r="P28" s="10" t="str">
        <f>IF(OR($G28&gt;'설정'!$D$5,$H28&lt;'설정'!$C$5),"",IF($L28="완료","완료",IF($M28="지연","지연",IF($M28="주의","주의",IF($J28&gt;0,"진행","계획")))))</f>
        <v/>
      </c>
      <c r="Q28" s="10" t="str">
        <f>IF(OR($G28&gt;'설정'!$D$6,$H28&lt;'설정'!$C$6),"",IF($L28="완료","완료",IF($M28="지연","지연",IF($M28="주의","주의",IF($J28&gt;0,"진행","계획")))))</f>
        <v/>
      </c>
      <c r="R28" s="10" t="str">
        <f>IF(OR($G28&gt;'설정'!$D$7,$H28&lt;'설정'!$C$7),"",IF($L28="완료","완료",IF($M28="지연","지연",IF($M28="주의","주의",IF($J28&gt;0,"진행","계획")))))</f>
        <v/>
      </c>
      <c r="S28" s="10" t="str">
        <f>IF(OR($G28&gt;'설정'!$D$8,$H28&lt;'설정'!$C$8),"",IF($L28="완료","완료",IF($M28="지연","지연",IF($M28="주의","주의",IF($J28&gt;0,"진행","계획")))))</f>
        <v/>
      </c>
      <c r="T28" s="10" t="str">
        <f>IF(OR($G28&gt;'설정'!$D$9,$H28&lt;'설정'!$C$9),"",IF($L28="완료","완료",IF($M28="지연","지연",IF($M28="주의","주의",IF($J28&gt;0,"진행","계획")))))</f>
        <v>완료</v>
      </c>
      <c r="U28" s="10" t="str">
        <f>IF(OR($G28&gt;'설정'!$D$10,$H28&lt;'설정'!$C$10),"",IF($L28="완료","완료",IF($M28="지연","지연",IF($M28="주의","주의",IF($J28&gt;0,"진행","계획")))))</f>
        <v>완료</v>
      </c>
      <c r="V28" s="10" t="str">
        <f>IF(OR($G28&gt;'설정'!$D$11,$H28&lt;'설정'!$C$11),"",IF($L28="완료","완료",IF($M28="지연","지연",IF($M28="주의","주의",IF($J28&gt;0,"진행","계획")))))</f>
        <v/>
      </c>
      <c r="W28" s="10" t="str">
        <f>IF(OR($G28&gt;'설정'!$D$12,$H28&lt;'설정'!$C$12),"",IF($L28="완료","완료",IF($M28="지연","지연",IF($M28="주의","주의",IF($J28&gt;0,"진행","계획")))))</f>
        <v/>
      </c>
    </row>
    <row r="29" ht="45.0" customHeight="1">
      <c r="A29" s="14" t="s">
        <v>159</v>
      </c>
      <c r="B29" s="11"/>
      <c r="C29" s="20" t="s">
        <v>160</v>
      </c>
      <c r="D29" s="14" t="s">
        <v>149</v>
      </c>
      <c r="E29" s="15" t="s">
        <v>161</v>
      </c>
      <c r="F29" s="15" t="s">
        <v>162</v>
      </c>
      <c r="G29" s="6">
        <v>46214.0</v>
      </c>
      <c r="H29" s="6">
        <v>46221.0</v>
      </c>
      <c r="I29" s="7">
        <v>1.0</v>
      </c>
      <c r="J29" s="7">
        <v>1.0</v>
      </c>
      <c r="K29" s="8">
        <f t="shared" si="1"/>
        <v>1</v>
      </c>
      <c r="L29" s="3" t="str">
        <f t="shared" si="2"/>
        <v>완료</v>
      </c>
      <c r="M29" s="3" t="str">
        <f t="shared" si="4"/>
        <v>정상</v>
      </c>
      <c r="N29" s="17" t="s">
        <v>163</v>
      </c>
      <c r="O29" s="10" t="str">
        <f>IF(OR($G29&gt;'설정'!$D$4,$H29&lt;'설정'!$C$4),"",IF($L29="완료","완료",IF($M29="지연","지연",IF($M29="주의","주의",IF($J29&gt;0,"진행","계획")))))</f>
        <v/>
      </c>
      <c r="P29" s="10" t="str">
        <f>IF(OR($G29&gt;'설정'!$D$5,$H29&lt;'설정'!$C$5),"",IF($L29="완료","완료",IF($M29="지연","지연",IF($M29="주의","주의",IF($J29&gt;0,"진행","계획")))))</f>
        <v/>
      </c>
      <c r="Q29" s="10" t="str">
        <f>IF(OR($G29&gt;'설정'!$D$6,$H29&lt;'설정'!$C$6),"",IF($L29="완료","완료",IF($M29="지연","지연",IF($M29="주의","주의",IF($J29&gt;0,"진행","계획")))))</f>
        <v/>
      </c>
      <c r="R29" s="10" t="str">
        <f>IF(OR($G29&gt;'설정'!$D$7,$H29&lt;'설정'!$C$7),"",IF($L29="완료","완료",IF($M29="지연","지연",IF($M29="주의","주의",IF($J29&gt;0,"진행","계획")))))</f>
        <v/>
      </c>
      <c r="S29" s="10" t="str">
        <f>IF(OR($G29&gt;'설정'!$D$8,$H29&lt;'설정'!$C$8),"",IF($L29="완료","완료",IF($M29="지연","지연",IF($M29="주의","주의",IF($J29&gt;0,"진행","계획")))))</f>
        <v/>
      </c>
      <c r="T29" s="10" t="str">
        <f>IF(OR($G29&gt;'설정'!$D$9,$H29&lt;'설정'!$C$9),"",IF($L29="완료","완료",IF($M29="지연","지연",IF($M29="주의","주의",IF($J29&gt;0,"진행","계획")))))</f>
        <v>완료</v>
      </c>
      <c r="U29" s="10" t="str">
        <f>IF(OR($G29&gt;'설정'!$D$10,$H29&lt;'설정'!$C$10),"",IF($L29="완료","완료",IF($M29="지연","지연",IF($M29="주의","주의",IF($J29&gt;0,"진행","계획")))))</f>
        <v>완료</v>
      </c>
      <c r="V29" s="10" t="str">
        <f>IF(OR($G29&gt;'설정'!$D$11,$H29&lt;'설정'!$C$11),"",IF($L29="완료","완료",IF($M29="지연","지연",IF($M29="주의","주의",IF($J29&gt;0,"진행","계획")))))</f>
        <v/>
      </c>
      <c r="W29" s="10" t="str">
        <f>IF(OR($G29&gt;'설정'!$D$12,$H29&lt;'설정'!$C$12),"",IF($L29="완료","완료",IF($M29="지연","지연",IF($M29="주의","주의",IF($J29&gt;0,"진행","계획")))))</f>
        <v/>
      </c>
    </row>
    <row r="30" ht="45.0" customHeight="1">
      <c r="A30" s="14" t="s">
        <v>164</v>
      </c>
      <c r="B30" s="11"/>
      <c r="C30" s="20" t="s">
        <v>165</v>
      </c>
      <c r="D30" s="14" t="s">
        <v>26</v>
      </c>
      <c r="E30" s="15" t="s">
        <v>166</v>
      </c>
      <c r="F30" s="15" t="s">
        <v>167</v>
      </c>
      <c r="G30" s="6">
        <v>46214.0</v>
      </c>
      <c r="H30" s="6">
        <v>46221.0</v>
      </c>
      <c r="I30" s="7">
        <v>1.0</v>
      </c>
      <c r="J30" s="7">
        <v>1.0</v>
      </c>
      <c r="K30" s="8">
        <f t="shared" si="1"/>
        <v>1</v>
      </c>
      <c r="L30" s="3" t="str">
        <f t="shared" si="2"/>
        <v>완료</v>
      </c>
      <c r="M30" s="3" t="str">
        <f t="shared" si="4"/>
        <v>정상</v>
      </c>
      <c r="N30" s="17" t="s">
        <v>168</v>
      </c>
      <c r="O30" s="10" t="str">
        <f>IF(OR($G30&gt;'설정'!$D$4,$H30&lt;'설정'!$C$4),"",IF($L30="완료","완료",IF($M30="지연","지연",IF($M30="주의","주의",IF($J30&gt;0,"진행","계획")))))</f>
        <v/>
      </c>
      <c r="P30" s="10" t="str">
        <f>IF(OR($G30&gt;'설정'!$D$5,$H30&lt;'설정'!$C$5),"",IF($L30="완료","완료",IF($M30="지연","지연",IF($M30="주의","주의",IF($J30&gt;0,"진행","계획")))))</f>
        <v/>
      </c>
      <c r="Q30" s="10" t="str">
        <f>IF(OR($G30&gt;'설정'!$D$6,$H30&lt;'설정'!$C$6),"",IF($L30="완료","완료",IF($M30="지연","지연",IF($M30="주의","주의",IF($J30&gt;0,"진행","계획")))))</f>
        <v/>
      </c>
      <c r="R30" s="10" t="str">
        <f>IF(OR($G30&gt;'설정'!$D$7,$H30&lt;'설정'!$C$7),"",IF($L30="완료","완료",IF($M30="지연","지연",IF($M30="주의","주의",IF($J30&gt;0,"진행","계획")))))</f>
        <v/>
      </c>
      <c r="S30" s="10" t="str">
        <f>IF(OR($G30&gt;'설정'!$D$8,$H30&lt;'설정'!$C$8),"",IF($L30="완료","완료",IF($M30="지연","지연",IF($M30="주의","주의",IF($J30&gt;0,"진행","계획")))))</f>
        <v/>
      </c>
      <c r="T30" s="10" t="str">
        <f>IF(OR($G30&gt;'설정'!$D$9,$H30&lt;'설정'!$C$9),"",IF($L30="완료","완료",IF($M30="지연","지연",IF($M30="주의","주의",IF($J30&gt;0,"진행","계획")))))</f>
        <v>완료</v>
      </c>
      <c r="U30" s="10" t="str">
        <f>IF(OR($G30&gt;'설정'!$D$10,$H30&lt;'설정'!$C$10),"",IF($L30="완료","완료",IF($M30="지연","지연",IF($M30="주의","주의",IF($J30&gt;0,"진행","계획")))))</f>
        <v>완료</v>
      </c>
      <c r="V30" s="10" t="str">
        <f>IF(OR($G30&gt;'설정'!$D$11,$H30&lt;'설정'!$C$11),"",IF($L30="완료","완료",IF($M30="지연","지연",IF($M30="주의","주의",IF($J30&gt;0,"진행","계획")))))</f>
        <v/>
      </c>
      <c r="W30" s="10" t="str">
        <f>IF(OR($G30&gt;'설정'!$D$12,$H30&lt;'설정'!$C$12),"",IF($L30="완료","완료",IF($M30="지연","지연",IF($M30="주의","주의",IF($J30&gt;0,"진행","계획")))))</f>
        <v/>
      </c>
    </row>
    <row r="31" ht="45.0" customHeight="1">
      <c r="A31" s="14" t="s">
        <v>169</v>
      </c>
      <c r="B31" s="11"/>
      <c r="C31" s="20" t="s">
        <v>170</v>
      </c>
      <c r="D31" s="14" t="s">
        <v>55</v>
      </c>
      <c r="E31" s="15" t="s">
        <v>171</v>
      </c>
      <c r="F31" s="15" t="s">
        <v>172</v>
      </c>
      <c r="G31" s="6">
        <v>46214.0</v>
      </c>
      <c r="H31" s="6">
        <v>46221.0</v>
      </c>
      <c r="I31" s="7">
        <v>1.0</v>
      </c>
      <c r="J31" s="7">
        <v>1.0</v>
      </c>
      <c r="K31" s="8">
        <f t="shared" si="1"/>
        <v>1</v>
      </c>
      <c r="L31" s="3" t="str">
        <f t="shared" si="2"/>
        <v>완료</v>
      </c>
      <c r="M31" s="3" t="str">
        <f t="shared" si="4"/>
        <v>정상</v>
      </c>
      <c r="N31" s="17" t="s">
        <v>58</v>
      </c>
      <c r="O31" s="10" t="str">
        <f>IF(OR($G31&gt;'설정'!$D$4,$H31&lt;'설정'!$C$4),"",IF($L31="완료","완료",IF($M31="지연","지연",IF($M31="주의","주의",IF($J31&gt;0,"진행","계획")))))</f>
        <v/>
      </c>
      <c r="P31" s="10" t="str">
        <f>IF(OR($G31&gt;'설정'!$D$5,$H31&lt;'설정'!$C$5),"",IF($L31="완료","완료",IF($M31="지연","지연",IF($M31="주의","주의",IF($J31&gt;0,"진행","계획")))))</f>
        <v/>
      </c>
      <c r="Q31" s="10" t="str">
        <f>IF(OR($G31&gt;'설정'!$D$6,$H31&lt;'설정'!$C$6),"",IF($L31="완료","완료",IF($M31="지연","지연",IF($M31="주의","주의",IF($J31&gt;0,"진행","계획")))))</f>
        <v/>
      </c>
      <c r="R31" s="10" t="str">
        <f>IF(OR($G31&gt;'설정'!$D$7,$H31&lt;'설정'!$C$7),"",IF($L31="완료","완료",IF($M31="지연","지연",IF($M31="주의","주의",IF($J31&gt;0,"진행","계획")))))</f>
        <v/>
      </c>
      <c r="S31" s="10" t="str">
        <f>IF(OR($G31&gt;'설정'!$D$8,$H31&lt;'설정'!$C$8),"",IF($L31="완료","완료",IF($M31="지연","지연",IF($M31="주의","주의",IF($J31&gt;0,"진행","계획")))))</f>
        <v/>
      </c>
      <c r="T31" s="10" t="str">
        <f>IF(OR($G31&gt;'설정'!$D$9,$H31&lt;'설정'!$C$9),"",IF($L31="완료","완료",IF($M31="지연","지연",IF($M31="주의","주의",IF($J31&gt;0,"진행","계획")))))</f>
        <v>완료</v>
      </c>
      <c r="U31" s="10" t="str">
        <f>IF(OR($G31&gt;'설정'!$D$10,$H31&lt;'설정'!$C$10),"",IF($L31="완료","완료",IF($M31="지연","지연",IF($M31="주의","주의",IF($J31&gt;0,"진행","계획")))))</f>
        <v>완료</v>
      </c>
      <c r="V31" s="10" t="str">
        <f>IF(OR($G31&gt;'설정'!$D$11,$H31&lt;'설정'!$C$11),"",IF($L31="완료","완료",IF($M31="지연","지연",IF($M31="주의","주의",IF($J31&gt;0,"진행","계획")))))</f>
        <v/>
      </c>
      <c r="W31" s="10" t="str">
        <f>IF(OR($G31&gt;'설정'!$D$12,$H31&lt;'설정'!$C$12),"",IF($L31="완료","완료",IF($M31="지연","지연",IF($M31="주의","주의",IF($J31&gt;0,"진행","계획")))))</f>
        <v/>
      </c>
    </row>
    <row r="32" ht="45.0" customHeight="1">
      <c r="A32" s="14" t="s">
        <v>173</v>
      </c>
      <c r="B32" s="11"/>
      <c r="C32" s="20" t="s">
        <v>174</v>
      </c>
      <c r="D32" s="14" t="s">
        <v>55</v>
      </c>
      <c r="E32" s="15" t="s">
        <v>175</v>
      </c>
      <c r="F32" s="15" t="s">
        <v>176</v>
      </c>
      <c r="G32" s="6">
        <v>46214.0</v>
      </c>
      <c r="H32" s="6">
        <v>46221.0</v>
      </c>
      <c r="I32" s="7">
        <v>1.0</v>
      </c>
      <c r="J32" s="7">
        <v>1.0</v>
      </c>
      <c r="K32" s="7">
        <v>1.0</v>
      </c>
      <c r="L32" s="21" t="s">
        <v>177</v>
      </c>
      <c r="M32" s="14" t="s">
        <v>178</v>
      </c>
      <c r="N32" s="17" t="s">
        <v>58</v>
      </c>
      <c r="O32" s="10" t="str">
        <f>IF(OR($G32&gt;'설정'!$D$4,$H32&lt;'설정'!$C$4),"",IF($L32="완료","완료",IF($M32="지연","지연",IF($M32="주의","주의",IF($J32&gt;0,"진행","계획")))))</f>
        <v/>
      </c>
      <c r="P32" s="10" t="str">
        <f>IF(OR($G32&gt;'설정'!$D$5,$H32&lt;'설정'!$C$5),"",IF($L32="완료","완료",IF($M32="지연","지연",IF($M32="주의","주의",IF($J32&gt;0,"진행","계획")))))</f>
        <v/>
      </c>
      <c r="Q32" s="10" t="str">
        <f>IF(OR($G32&gt;'설정'!$D$6,$H32&lt;'설정'!$C$6),"",IF($L32="완료","완료",IF($M32="지연","지연",IF($M32="주의","주의",IF($J32&gt;0,"진행","계획")))))</f>
        <v/>
      </c>
      <c r="R32" s="10" t="str">
        <f>IF(OR($G32&gt;'설정'!$D$7,$H32&lt;'설정'!$C$7),"",IF($L32="완료","완료",IF($M32="지연","지연",IF($M32="주의","주의",IF($J32&gt;0,"진행","계획")))))</f>
        <v/>
      </c>
      <c r="S32" s="10" t="str">
        <f>IF(OR($G32&gt;'설정'!$D$8,$H32&lt;'설정'!$C$8),"",IF($L32="완료","완료",IF($M32="지연","지연",IF($M32="주의","주의",IF($J32&gt;0,"진행","계획")))))</f>
        <v/>
      </c>
      <c r="T32" s="10" t="str">
        <f>IF(OR($G32&gt;'설정'!$D$9,$H32&lt;'설정'!$C$9),"",IF($L32="완료","완료",IF($M32="지연","지연",IF($M32="주의","주의",IF($J32&gt;0,"진행","계획")))))</f>
        <v>완료</v>
      </c>
      <c r="U32" s="10" t="str">
        <f>IF(OR($G32&gt;'설정'!$D$10,$H32&lt;'설정'!$C$10),"",IF($L32="완료","완료",IF($M32="지연","지연",IF($M32="주의","주의",IF($J32&gt;0,"진행","계획")))))</f>
        <v>완료</v>
      </c>
      <c r="V32" s="10" t="str">
        <f>IF(OR($G32&gt;'설정'!$D$11,$H32&lt;'설정'!$C$11),"",IF($L32="완료","완료",IF($M32="지연","지연",IF($M32="주의","주의",IF($J32&gt;0,"진행","계획")))))</f>
        <v/>
      </c>
      <c r="W32" s="10" t="str">
        <f>IF(OR($G32&gt;'설정'!$D$12,$H32&lt;'설정'!$C$12),"",IF($L32="완료","완료",IF($M32="지연","지연",IF($M32="주의","주의",IF($J32&gt;0,"진행","계획")))))</f>
        <v/>
      </c>
    </row>
    <row r="33" ht="45.0" customHeight="1">
      <c r="A33" s="14" t="s">
        <v>179</v>
      </c>
      <c r="B33" s="11"/>
      <c r="C33" s="20" t="s">
        <v>180</v>
      </c>
      <c r="D33" s="14" t="s">
        <v>70</v>
      </c>
      <c r="E33" s="15" t="s">
        <v>181</v>
      </c>
      <c r="F33" s="15" t="s">
        <v>182</v>
      </c>
      <c r="G33" s="6">
        <v>46214.0</v>
      </c>
      <c r="H33" s="6">
        <v>46221.0</v>
      </c>
      <c r="I33" s="7">
        <v>1.0</v>
      </c>
      <c r="J33" s="7">
        <v>1.0</v>
      </c>
      <c r="K33" s="8">
        <f t="shared" ref="K33:K36" si="5">IF(LEN($J33&amp;"")=0,"",$J33)</f>
        <v>1</v>
      </c>
      <c r="L33" s="3" t="str">
        <f>IF(LEN($K33&amp;"")=0,"",IF($K33&gt;=1,"완료",IF($K33&gt;0,"진행","준비")))</f>
        <v>완료</v>
      </c>
      <c r="M33" s="3" t="str">
        <f>IF(OR(LEN($I33&amp;"")=0,LEN($J33&amp;"")=0),"",IF($J33&gt;=1,"정상",IF($J33&gt;=$I33,"정상",IF($I33-$J33&gt;0.1,"지연","주의"))))</f>
        <v>정상</v>
      </c>
      <c r="N33" s="17" t="s">
        <v>69</v>
      </c>
      <c r="O33" s="10" t="str">
        <f>IF(OR($G33&gt;'설정'!$D$4,$H33&lt;'설정'!$C$4),"",IF($L33="완료","완료",IF($M33="지연","지연",IF($M33="주의","주의",IF($J33&gt;0,"진행","계획")))))</f>
        <v/>
      </c>
      <c r="P33" s="10" t="str">
        <f>IF(OR($G33&gt;'설정'!$D$5,$H33&lt;'설정'!$C$5),"",IF($L33="완료","완료",IF($M33="지연","지연",IF($M33="주의","주의",IF($J33&gt;0,"진행","계획")))))</f>
        <v/>
      </c>
      <c r="Q33" s="10" t="str">
        <f>IF(OR($G33&gt;'설정'!$D$6,$H33&lt;'설정'!$C$6),"",IF($L33="완료","완료",IF($M33="지연","지연",IF($M33="주의","주의",IF($J33&gt;0,"진행","계획")))))</f>
        <v/>
      </c>
      <c r="R33" s="10" t="str">
        <f>IF(OR($G33&gt;'설정'!$D$7,$H33&lt;'설정'!$C$7),"",IF($L33="완료","완료",IF($M33="지연","지연",IF($M33="주의","주의",IF($J33&gt;0,"진행","계획")))))</f>
        <v/>
      </c>
      <c r="S33" s="10" t="str">
        <f>IF(OR($G33&gt;'설정'!$D$8,$H33&lt;'설정'!$C$8),"",IF($L33="완료","완료",IF($M33="지연","지연",IF($M33="주의","주의",IF($J33&gt;0,"진행","계획")))))</f>
        <v/>
      </c>
      <c r="T33" s="10" t="str">
        <f>IF(OR($G33&gt;'설정'!$D$9,$H33&lt;'설정'!$C$9),"",IF($L33="완료","완료",IF($M33="지연","지연",IF($M33="주의","주의",IF($J33&gt;0,"진행","계획")))))</f>
        <v>완료</v>
      </c>
      <c r="U33" s="10" t="str">
        <f>IF(OR($G33&gt;'설정'!$D$10,$H33&lt;'설정'!$C$10),"",IF($L33="완료","완료",IF($M33="지연","지연",IF($M33="주의","주의",IF($J33&gt;0,"진행","계획")))))</f>
        <v>완료</v>
      </c>
      <c r="V33" s="10" t="str">
        <f>IF(OR($G33&gt;'설정'!$D$11,$H33&lt;'설정'!$C$11),"",IF($L33="완료","완료",IF($M33="지연","지연",IF($M33="주의","주의",IF($J33&gt;0,"진행","계획")))))</f>
        <v/>
      </c>
      <c r="W33" s="10" t="str">
        <f>IF(OR($G33&gt;'설정'!$D$12,$H33&lt;'설정'!$C$12),"",IF($L33="완료","완료",IF($M33="지연","지연",IF($M33="주의","주의",IF($J33&gt;0,"진행","계획")))))</f>
        <v/>
      </c>
    </row>
    <row r="34" ht="45.0" customHeight="1">
      <c r="A34" s="14" t="s">
        <v>183</v>
      </c>
      <c r="B34" s="11"/>
      <c r="C34" s="20" t="s">
        <v>184</v>
      </c>
      <c r="D34" s="21" t="s">
        <v>55</v>
      </c>
      <c r="E34" s="15" t="s">
        <v>185</v>
      </c>
      <c r="F34" s="15" t="s">
        <v>186</v>
      </c>
      <c r="G34" s="6">
        <v>46214.0</v>
      </c>
      <c r="H34" s="6">
        <v>46221.0</v>
      </c>
      <c r="I34" s="7">
        <v>1.0</v>
      </c>
      <c r="J34" s="7">
        <v>1.0</v>
      </c>
      <c r="K34" s="8">
        <f t="shared" si="5"/>
        <v>1</v>
      </c>
      <c r="L34" s="21" t="str">
        <f>IF(LEN($K34&amp;"")=0,"",IF($K34&gt;=1,"완료",IF($K34&gt;0,"진행","준비")))</f>
        <v>완료</v>
      </c>
      <c r="M34" s="14" t="s">
        <v>178</v>
      </c>
      <c r="N34" s="17" t="s">
        <v>69</v>
      </c>
      <c r="O34" s="10" t="str">
        <f>IF(OR($G34&gt;'설정'!$D$4,$H34&lt;'설정'!$C$4),"",IF($L34="완료","완료",IF($M34="지연","지연",IF($M34="주의","주의",IF($J34&gt;0,"진행","계획")))))</f>
        <v/>
      </c>
      <c r="P34" s="10" t="str">
        <f>IF(OR($G34&gt;'설정'!$D$5,$H34&lt;'설정'!$C$5),"",IF($L34="완료","완료",IF($M34="지연","지연",IF($M34="주의","주의",IF($J34&gt;0,"진행","계획")))))</f>
        <v/>
      </c>
      <c r="Q34" s="10" t="str">
        <f>IF(OR($G34&gt;'설정'!$D$6,$H34&lt;'설정'!$C$6),"",IF($L34="완료","완료",IF($M34="지연","지연",IF($M34="주의","주의",IF($J34&gt;0,"진행","계획")))))</f>
        <v/>
      </c>
      <c r="R34" s="10" t="str">
        <f>IF(OR($G34&gt;'설정'!$D$7,$H34&lt;'설정'!$C$7),"",IF($L34="완료","완료",IF($M34="지연","지연",IF($M34="주의","주의",IF($J34&gt;0,"진행","계획")))))</f>
        <v/>
      </c>
      <c r="S34" s="10" t="str">
        <f>IF(OR($G34&gt;'설정'!$D$8,$H34&lt;'설정'!$C$8),"",IF($L34="완료","완료",IF($M34="지연","지연",IF($M34="주의","주의",IF($J34&gt;0,"진행","계획")))))</f>
        <v/>
      </c>
      <c r="T34" s="10" t="str">
        <f>IF(OR($G34&gt;'설정'!$D$9,$H34&lt;'설정'!$C$9),"",IF($L34="완료","완료",IF($M34="지연","지연",IF($M34="주의","주의",IF($J34&gt;0,"진행","계획")))))</f>
        <v>완료</v>
      </c>
      <c r="U34" s="10" t="str">
        <f>IF(OR($G34&gt;'설정'!$D$10,$H34&lt;'설정'!$C$10),"",IF($L34="완료","완료",IF($M34="지연","지연",IF($M34="주의","주의",IF($J34&gt;0,"진행","계획")))))</f>
        <v>완료</v>
      </c>
      <c r="V34" s="10" t="str">
        <f>IF(OR($G34&gt;'설정'!$D$11,$H34&lt;'설정'!$C$11),"",IF($L34="완료","완료",IF($M34="지연","지연",IF($M34="주의","주의",IF($J34&gt;0,"진행","계획")))))</f>
        <v/>
      </c>
      <c r="W34" s="10" t="str">
        <f>IF(OR($G34&gt;'설정'!$D$12,$H34&lt;'설정'!$C$12),"",IF($L34="완료","완료",IF($M34="지연","지연",IF($M34="주의","주의",IF($J34&gt;0,"진행","계획")))))</f>
        <v/>
      </c>
    </row>
    <row r="35" ht="45.0" customHeight="1">
      <c r="A35" s="14" t="s">
        <v>187</v>
      </c>
      <c r="B35" s="11"/>
      <c r="C35" s="20" t="s">
        <v>188</v>
      </c>
      <c r="D35" s="14" t="s">
        <v>106</v>
      </c>
      <c r="E35" s="15" t="s">
        <v>189</v>
      </c>
      <c r="F35" s="15" t="s">
        <v>190</v>
      </c>
      <c r="G35" s="6">
        <v>46214.0</v>
      </c>
      <c r="H35" s="6">
        <v>46221.0</v>
      </c>
      <c r="I35" s="7">
        <v>0.0</v>
      </c>
      <c r="J35" s="7">
        <v>0.0</v>
      </c>
      <c r="K35" s="8">
        <f t="shared" si="5"/>
        <v>0</v>
      </c>
      <c r="L35" s="3" t="str">
        <f t="shared" ref="L35:L36" si="6">IF(LEN($K35&amp;"")=0,"",IF($K35&gt;=1,"완료",IF($K35&gt;0,"진행","준비")))</f>
        <v>준비</v>
      </c>
      <c r="M35" s="3" t="str">
        <f t="shared" ref="M35:M36" si="7">IF(OR(LEN($I35&amp;"")=0,LEN($J35&amp;"")=0),"",IF($J35&gt;=1,"정상",IF($J35&gt;=$I35,"정상",IF($I35-$J35&gt;0.1,"지연","주의"))))</f>
        <v>정상</v>
      </c>
      <c r="N35" s="17" t="s">
        <v>105</v>
      </c>
      <c r="O35" s="10" t="str">
        <f>IF(OR($G35&gt;'설정'!$D$4,$H35&lt;'설정'!$C$4),"",IF($L35="완료","완료",IF($M35="지연","지연",IF($M35="주의","주의",IF($J35&gt;0,"진행","계획")))))</f>
        <v/>
      </c>
      <c r="P35" s="10" t="str">
        <f>IF(OR($G35&gt;'설정'!$D$5,$H35&lt;'설정'!$C$5),"",IF($L35="완료","완료",IF($M35="지연","지연",IF($M35="주의","주의",IF($J35&gt;0,"진행","계획")))))</f>
        <v/>
      </c>
      <c r="Q35" s="10" t="str">
        <f>IF(OR($G35&gt;'설정'!$D$6,$H35&lt;'설정'!$C$6),"",IF($L35="완료","완료",IF($M35="지연","지연",IF($M35="주의","주의",IF($J35&gt;0,"진행","계획")))))</f>
        <v/>
      </c>
      <c r="R35" s="10" t="str">
        <f>IF(OR($G35&gt;'설정'!$D$7,$H35&lt;'설정'!$C$7),"",IF($L35="완료","완료",IF($M35="지연","지연",IF($M35="주의","주의",IF($J35&gt;0,"진행","계획")))))</f>
        <v/>
      </c>
      <c r="S35" s="10" t="str">
        <f>IF(OR($G35&gt;'설정'!$D$8,$H35&lt;'설정'!$C$8),"",IF($L35="완료","완료",IF($M35="지연","지연",IF($M35="주의","주의",IF($J35&gt;0,"진행","계획")))))</f>
        <v/>
      </c>
      <c r="T35" s="10" t="str">
        <f>IF(OR($G17&gt;'설정'!$D$8,$H17&lt;'설정'!$C$8),"",IF($L17="완료","완료",IF($M17="지연","지연",IF($M17="주의","주의",IF($J17&gt;0,"진행","계획")))))</f>
        <v>완료</v>
      </c>
      <c r="U35" s="10" t="str">
        <f>IF(OR($G17&gt;'설정'!$D$8,$H17&lt;'설정'!$C$8),"",IF($L17="완료","완료",IF($M17="지연","지연",IF($M17="주의","주의",IF($J17&gt;0,"진행","계획")))))</f>
        <v>완료</v>
      </c>
      <c r="V35" s="10" t="str">
        <f>IF(OR($G35&gt;'설정'!$D$11,$H35&lt;'설정'!$C$11),"",IF($L35="완료","완료",IF($M35="지연","지연",IF($M35="주의","주의",IF($J35&gt;0,"진행","계획")))))</f>
        <v/>
      </c>
      <c r="W35" s="10" t="str">
        <f>IF(OR($G35&gt;'설정'!$D$12,$H35&lt;'설정'!$C$12),"",IF($L35="완료","완료",IF($M35="지연","지연",IF($M35="주의","주의",IF($J35&gt;0,"진행","계획")))))</f>
        <v/>
      </c>
    </row>
    <row r="36" ht="45.0" customHeight="1">
      <c r="A36" s="14" t="s">
        <v>191</v>
      </c>
      <c r="B36" s="11"/>
      <c r="C36" s="20" t="s">
        <v>192</v>
      </c>
      <c r="D36" s="14" t="s">
        <v>136</v>
      </c>
      <c r="E36" s="15" t="s">
        <v>193</v>
      </c>
      <c r="F36" s="15" t="s">
        <v>194</v>
      </c>
      <c r="G36" s="6">
        <v>46214.0</v>
      </c>
      <c r="H36" s="6">
        <v>46221.0</v>
      </c>
      <c r="I36" s="7">
        <v>1.0</v>
      </c>
      <c r="J36" s="7">
        <v>1.0</v>
      </c>
      <c r="K36" s="8">
        <f t="shared" si="5"/>
        <v>1</v>
      </c>
      <c r="L36" s="3" t="str">
        <f t="shared" si="6"/>
        <v>완료</v>
      </c>
      <c r="M36" s="3" t="str">
        <f t="shared" si="7"/>
        <v>정상</v>
      </c>
      <c r="N36" s="17" t="s">
        <v>135</v>
      </c>
      <c r="O36" s="10" t="str">
        <f>IF(OR($G36&gt;'설정'!$D$4,$H36&lt;'설정'!$C$4),"",IF($L36="완료","완료",IF($M36="지연","지연",IF($M36="주의","주의",IF($J36&gt;0,"진행","계획")))))</f>
        <v/>
      </c>
      <c r="P36" s="10" t="str">
        <f>IF(OR($G36&gt;'설정'!$D$5,$H36&lt;'설정'!$C$5),"",IF($L36="완료","완료",IF($M36="지연","지연",IF($M36="주의","주의",IF($J36&gt;0,"진행","계획")))))</f>
        <v/>
      </c>
      <c r="Q36" s="10" t="str">
        <f>IF(OR($G36&gt;'설정'!$D$6,$H36&lt;'설정'!$C$6),"",IF($L36="완료","완료",IF($M36="지연","지연",IF($M36="주의","주의",IF($J36&gt;0,"진행","계획")))))</f>
        <v/>
      </c>
      <c r="R36" s="10" t="str">
        <f>IF(OR($G36&gt;'설정'!$D$7,$H36&lt;'설정'!$C$7),"",IF($L36="완료","완료",IF($M36="지연","지연",IF($M36="주의","주의",IF($J36&gt;0,"진행","계획")))))</f>
        <v/>
      </c>
      <c r="S36" s="10" t="str">
        <f>IF(OR($G36&gt;'설정'!$D$8,$H36&lt;'설정'!$C$8),"",IF($L36="완료","완료",IF($M36="지연","지연",IF($M36="주의","주의",IF($J36&gt;0,"진행","계획")))))</f>
        <v/>
      </c>
      <c r="T36" s="10" t="str">
        <f>IF(OR($G36&gt;'설정'!$D$9,$H36&lt;'설정'!$C$9),"",IF($L36="완료","완료",IF($M36="지연","지연",IF($M36="주의","주의",IF($J36&gt;0,"진행","계획")))))</f>
        <v>완료</v>
      </c>
      <c r="U36" s="10" t="str">
        <f>IF(OR($G36&gt;'설정'!$D$10,$H36&lt;'설정'!$C$10),"",IF($L36="완료","완료",IF($M36="지연","지연",IF($M36="주의","주의",IF($J36&gt;0,"진행","계획")))))</f>
        <v>완료</v>
      </c>
      <c r="V36" s="10" t="str">
        <f>IF(OR($G36&gt;'설정'!$D$11,$H36&lt;'설정'!$C$11),"",IF($L36="완료","완료",IF($M36="지연","지연",IF($M36="주의","주의",IF($J36&gt;0,"진행","계획")))))</f>
        <v/>
      </c>
      <c r="W36" s="10" t="str">
        <f>IF(OR($G36&gt;'설정'!$D$12,$H36&lt;'설정'!$C$12),"",IF($L36="완료","완료",IF($M36="지연","지연",IF($M36="주의","주의",IF($J36&gt;0,"진행","계획")))))</f>
        <v/>
      </c>
    </row>
    <row r="37" ht="45.0" customHeight="1">
      <c r="A37" s="14" t="s">
        <v>195</v>
      </c>
      <c r="B37" s="11"/>
      <c r="C37" s="20" t="s">
        <v>196</v>
      </c>
      <c r="D37" s="14" t="s">
        <v>136</v>
      </c>
      <c r="E37" s="15" t="s">
        <v>197</v>
      </c>
      <c r="F37" s="15" t="s">
        <v>198</v>
      </c>
      <c r="G37" s="6">
        <v>46214.0</v>
      </c>
      <c r="H37" s="6">
        <v>46221.0</v>
      </c>
      <c r="I37" s="7">
        <v>1.0</v>
      </c>
      <c r="J37" s="7">
        <v>1.0</v>
      </c>
      <c r="K37" s="7">
        <v>1.0</v>
      </c>
      <c r="L37" s="21" t="str">
        <f>IF(LEN($K37&amp;"")=0,"",IF($K37&gt;=1,"완료",IF($K37&gt;0,"진행","준비")))</f>
        <v>완료</v>
      </c>
      <c r="M37" s="14" t="s">
        <v>178</v>
      </c>
      <c r="N37" s="17" t="s">
        <v>135</v>
      </c>
      <c r="O37" s="10" t="str">
        <f>IF(OR($G37&gt;'설정'!$D$4,$H37&lt;'설정'!$C$4),"",IF($L37="완료","완료",IF($M37="지연","지연",IF($M37="주의","주의",IF($J37&gt;0,"진행","계획")))))</f>
        <v/>
      </c>
      <c r="P37" s="10" t="str">
        <f>IF(OR($G37&gt;'설정'!$D$5,$H37&lt;'설정'!$C$5),"",IF($L37="완료","완료",IF($M37="지연","지연",IF($M37="주의","주의",IF($J37&gt;0,"진행","계획")))))</f>
        <v/>
      </c>
      <c r="Q37" s="10" t="str">
        <f>IF(OR($G37&gt;'설정'!$D$6,$H37&lt;'설정'!$C$6),"",IF($L37="완료","완료",IF($M37="지연","지연",IF($M37="주의","주의",IF($J37&gt;0,"진행","계획")))))</f>
        <v/>
      </c>
      <c r="R37" s="10" t="str">
        <f>IF(OR($G37&gt;'설정'!$D$7,$H37&lt;'설정'!$C$7),"",IF($L37="완료","완료",IF($M37="지연","지연",IF($M37="주의","주의",IF($J37&gt;0,"진행","계획")))))</f>
        <v/>
      </c>
      <c r="S37" s="10" t="str">
        <f>IF(OR($G37&gt;'설정'!$D$8,$H37&lt;'설정'!$C$8),"",IF($L37="완료","완료",IF($M37="지연","지연",IF($M37="주의","주의",IF($J37&gt;0,"진행","계획")))))</f>
        <v/>
      </c>
      <c r="T37" s="10" t="str">
        <f>IF(OR($G37&gt;'설정'!$D$9,$H37&lt;'설정'!$C$9),"",IF($L37="완료","완료",IF($M37="지연","지연",IF($M37="주의","주의",IF($J37&gt;0,"진행","계획")))))</f>
        <v>완료</v>
      </c>
      <c r="U37" s="10" t="str">
        <f>IF(OR($G37&gt;'설정'!$D$10,$H37&lt;'설정'!$C$10),"",IF($L37="완료","완료",IF($M37="지연","지연",IF($M37="주의","주의",IF($J37&gt;0,"진행","계획")))))</f>
        <v>완료</v>
      </c>
      <c r="V37" s="10" t="str">
        <f>IF(OR($G37&gt;'설정'!$D$11,$H37&lt;'설정'!$C$11),"",IF($L37="완료","완료",IF($M37="지연","지연",IF($M37="주의","주의",IF($J37&gt;0,"진행","계획")))))</f>
        <v/>
      </c>
      <c r="W37" s="10" t="str">
        <f>IF(OR($G37&gt;'설정'!$D$12,$H37&lt;'설정'!$C$12),"",IF($L37="완료","완료",IF($M37="지연","지연",IF($M37="주의","주의",IF($J37&gt;0,"진행","계획")))))</f>
        <v/>
      </c>
    </row>
    <row r="38" ht="45.0" customHeight="1">
      <c r="A38" s="14" t="s">
        <v>199</v>
      </c>
      <c r="B38" s="11"/>
      <c r="C38" s="20" t="s">
        <v>200</v>
      </c>
      <c r="D38" s="14" t="s">
        <v>120</v>
      </c>
      <c r="E38" s="15" t="s">
        <v>201</v>
      </c>
      <c r="F38" s="15" t="s">
        <v>202</v>
      </c>
      <c r="G38" s="6">
        <v>46214.0</v>
      </c>
      <c r="H38" s="6">
        <v>46221.0</v>
      </c>
      <c r="I38" s="7">
        <v>1.0</v>
      </c>
      <c r="J38" s="7">
        <v>1.0</v>
      </c>
      <c r="K38" s="8">
        <f t="shared" ref="K38:K42" si="8">IF(LEN($J38&amp;"")=0,"",$J38)</f>
        <v>1</v>
      </c>
      <c r="L38" s="3" t="str">
        <f t="shared" ref="L38:L42" si="9">IF(LEN($K38&amp;"")=0,"",IF($K38&gt;=1,"완료",IF($K38&gt;0,"진행","준비")))</f>
        <v>완료</v>
      </c>
      <c r="M38" s="3" t="str">
        <f t="shared" ref="M38:M42" si="10">IF(OR(LEN($I38&amp;"")=0,LEN($J38&amp;"")=0),"",IF($J38&gt;=1,"정상",IF($J38&gt;=$I38,"정상",IF($I38-$J38&gt;0.1,"지연","주의"))))</f>
        <v>정상</v>
      </c>
      <c r="N38" s="17" t="s">
        <v>123</v>
      </c>
      <c r="O38" s="10" t="str">
        <f>IF(OR($G38&gt;'설정'!$D$4,$H38&lt;'설정'!$C$4),"",IF($L38="완료","완료",IF($M38="지연","지연",IF($M38="주의","주의",IF($J38&gt;0,"진행","계획")))))</f>
        <v/>
      </c>
      <c r="P38" s="10" t="str">
        <f>IF(OR($G38&gt;'설정'!$D$5,$H38&lt;'설정'!$C$5),"",IF($L38="완료","완료",IF($M38="지연","지연",IF($M38="주의","주의",IF($J38&gt;0,"진행","계획")))))</f>
        <v/>
      </c>
      <c r="Q38" s="10" t="str">
        <f>IF(OR($G38&gt;'설정'!$D$6,$H38&lt;'설정'!$C$6),"",IF($L38="완료","완료",IF($M38="지연","지연",IF($M38="주의","주의",IF($J38&gt;0,"진행","계획")))))</f>
        <v/>
      </c>
      <c r="R38" s="10" t="str">
        <f>IF(OR($G38&gt;'설정'!$D$7,$H38&lt;'설정'!$C$7),"",IF($L38="완료","완료",IF($M38="지연","지연",IF($M38="주의","주의",IF($J38&gt;0,"진행","계획")))))</f>
        <v/>
      </c>
      <c r="S38" s="10" t="str">
        <f>IF(OR($G38&gt;'설정'!$D$8,$H38&lt;'설정'!$C$8),"",IF($L38="완료","완료",IF($M38="지연","지연",IF($M38="주의","주의",IF($J38&gt;0,"진행","계획")))))</f>
        <v/>
      </c>
      <c r="T38" s="10" t="str">
        <f>IF(OR($G38&gt;'설정'!$D$9,$H38&lt;'설정'!$C$9),"",IF($L38="완료","완료",IF($M38="지연","지연",IF($M38="주의","주의",IF($J38&gt;0,"진행","계획")))))</f>
        <v>완료</v>
      </c>
      <c r="U38" s="10" t="str">
        <f>IF(OR($G38&gt;'설정'!$D$10,$H38&lt;'설정'!$C$10),"",IF($L38="완료","완료",IF($M38="지연","지연",IF($M38="주의","주의",IF($J38&gt;0,"진행","계획")))))</f>
        <v>완료</v>
      </c>
      <c r="V38" s="10" t="str">
        <f>IF(OR($G38&gt;'설정'!$D$11,$H38&lt;'설정'!$C$11),"",IF($L38="완료","완료",IF($M38="지연","지연",IF($M38="주의","주의",IF($J38&gt;0,"진행","계획")))))</f>
        <v/>
      </c>
      <c r="W38" s="10" t="str">
        <f>IF(OR($G38&gt;'설정'!$D$12,$H38&lt;'설정'!$C$12),"",IF($L38="완료","완료",IF($M38="지연","지연",IF($M38="주의","주의",IF($J38&gt;0,"진행","계획")))))</f>
        <v/>
      </c>
    </row>
    <row r="39" ht="45.0" customHeight="1">
      <c r="A39" s="14" t="s">
        <v>203</v>
      </c>
      <c r="B39" s="12"/>
      <c r="C39" s="20" t="s">
        <v>204</v>
      </c>
      <c r="D39" s="14" t="s">
        <v>40</v>
      </c>
      <c r="E39" s="15" t="s">
        <v>205</v>
      </c>
      <c r="F39" s="15" t="s">
        <v>206</v>
      </c>
      <c r="G39" s="6">
        <v>46214.0</v>
      </c>
      <c r="H39" s="6">
        <v>46221.0</v>
      </c>
      <c r="I39" s="7">
        <v>1.0</v>
      </c>
      <c r="J39" s="7">
        <v>1.0</v>
      </c>
      <c r="K39" s="8">
        <f t="shared" si="8"/>
        <v>1</v>
      </c>
      <c r="L39" s="3" t="str">
        <f t="shared" si="9"/>
        <v>완료</v>
      </c>
      <c r="M39" s="3" t="str">
        <f t="shared" si="10"/>
        <v>정상</v>
      </c>
      <c r="N39" s="17" t="s">
        <v>43</v>
      </c>
      <c r="O39" s="10" t="str">
        <f>IF(OR($G39&gt;'설정'!$D$4,$H39&lt;'설정'!$C$4),"",IF($L39="완료","완료",IF($M39="지연","지연",IF($M39="주의","주의",IF($J39&gt;0,"진행","계획")))))</f>
        <v/>
      </c>
      <c r="P39" s="10" t="str">
        <f>IF(OR($G39&gt;'설정'!$D$5,$H39&lt;'설정'!$C$5),"",IF($L39="완료","완료",IF($M39="지연","지연",IF($M39="주의","주의",IF($J39&gt;0,"진행","계획")))))</f>
        <v/>
      </c>
      <c r="Q39" s="10" t="str">
        <f>IF(OR($G39&gt;'설정'!$D$6,$H39&lt;'설정'!$C$6),"",IF($L39="완료","완료",IF($M39="지연","지연",IF($M39="주의","주의",IF($J39&gt;0,"진행","계획")))))</f>
        <v/>
      </c>
      <c r="R39" s="10" t="str">
        <f>IF(OR($G39&gt;'설정'!$D$7,$H39&lt;'설정'!$C$7),"",IF($L39="완료","완료",IF($M39="지연","지연",IF($M39="주의","주의",IF($J39&gt;0,"진행","계획")))))</f>
        <v/>
      </c>
      <c r="S39" s="10" t="str">
        <f>IF(OR($G39&gt;'설정'!$D$8,$H39&lt;'설정'!$C$8),"",IF($L39="완료","완료",IF($M39="지연","지연",IF($M39="주의","주의",IF($J39&gt;0,"진행","계획")))))</f>
        <v/>
      </c>
      <c r="T39" s="10" t="str">
        <f>IF(OR($G39&gt;'설정'!$D$9,$H39&lt;'설정'!$C$9),"",IF($L39="완료","완료",IF($M39="지연","지연",IF($M39="주의","주의",IF($J39&gt;0,"진행","계획")))))</f>
        <v>완료</v>
      </c>
      <c r="U39" s="10" t="str">
        <f>IF(OR($G39&gt;'설정'!$D$10,$H39&lt;'설정'!$C$10),"",IF($L39="완료","완료",IF($M39="지연","지연",IF($M39="주의","주의",IF($J39&gt;0,"진행","계획")))))</f>
        <v>완료</v>
      </c>
      <c r="V39" s="10" t="str">
        <f>IF(OR($G39&gt;'설정'!$D$11,$H39&lt;'설정'!$C$11),"",IF($L39="완료","완료",IF($M39="지연","지연",IF($M39="주의","주의",IF($J39&gt;0,"진행","계획")))))</f>
        <v/>
      </c>
      <c r="W39" s="10" t="str">
        <f>IF(OR($G39&gt;'설정'!$D$12,$H39&lt;'설정'!$C$12),"",IF($L39="완료","완료",IF($M39="지연","지연",IF($M39="주의","주의",IF($J39&gt;0,"진행","계획")))))</f>
        <v/>
      </c>
    </row>
    <row r="40" ht="15.75" customHeight="1">
      <c r="A40" s="14" t="s">
        <v>207</v>
      </c>
      <c r="B40" s="19" t="s">
        <v>208</v>
      </c>
      <c r="C40" s="14" t="s">
        <v>209</v>
      </c>
      <c r="D40" s="19" t="s">
        <v>26</v>
      </c>
      <c r="E40" s="15" t="s">
        <v>210</v>
      </c>
      <c r="F40" s="15" t="s">
        <v>211</v>
      </c>
      <c r="G40" s="6">
        <v>46214.0</v>
      </c>
      <c r="H40" s="6">
        <v>46221.0</v>
      </c>
      <c r="I40" s="7">
        <v>1.0</v>
      </c>
      <c r="J40" s="7">
        <v>1.0</v>
      </c>
      <c r="K40" s="8">
        <f t="shared" si="8"/>
        <v>1</v>
      </c>
      <c r="L40" s="3" t="str">
        <f t="shared" si="9"/>
        <v>완료</v>
      </c>
      <c r="M40" s="3" t="str">
        <f t="shared" si="10"/>
        <v>정상</v>
      </c>
      <c r="N40" s="17" t="s">
        <v>212</v>
      </c>
      <c r="O40" s="10" t="str">
        <f>IF(OR($G40&gt;'설정'!$D$4,$H40&lt;'설정'!$C$4),"",IF($L40="완료","완료",IF($M40="지연","지연",IF($M40="주의","주의",IF($J40&gt;0,"진행","계획")))))</f>
        <v/>
      </c>
      <c r="P40" s="10" t="str">
        <f>IF(OR($G40&gt;'설정'!$D$5,$H40&lt;'설정'!$C$5),"",IF($L40="완료","완료",IF($M40="지연","지연",IF($M40="주의","주의",IF($J40&gt;0,"진행","계획")))))</f>
        <v/>
      </c>
      <c r="Q40" s="10" t="str">
        <f>IF(OR($G40&gt;'설정'!$D$6,$H40&lt;'설정'!$C$6),"",IF($L40="완료","완료",IF($M40="지연","지연",IF($M40="주의","주의",IF($J40&gt;0,"진행","계획")))))</f>
        <v/>
      </c>
      <c r="R40" s="10" t="str">
        <f>IF(OR($G40&gt;'설정'!$D$7,$H40&lt;'설정'!$C$7),"",IF($L40="완료","완료",IF($M40="지연","지연",IF($M40="주의","주의",IF($J40&gt;0,"진행","계획")))))</f>
        <v/>
      </c>
      <c r="S40" s="10" t="str">
        <f>IF(OR($G40&gt;'설정'!$D$8,$H40&lt;'설정'!$C$8),"",IF($L40="완료","완료",IF($M40="지연","지연",IF($M40="주의","주의",IF($J40&gt;0,"진행","계획")))))</f>
        <v/>
      </c>
      <c r="T40" s="10" t="str">
        <f>IF(OR($G40&gt;'설정'!$D$9,$H40&lt;'설정'!$C$9),"",IF($L40="완료","완료",IF($M40="지연","지연",IF($M40="주의","주의",IF($J40&gt;0,"진행","계획")))))</f>
        <v>완료</v>
      </c>
      <c r="U40" s="10" t="str">
        <f>IF(OR($G40&gt;'설정'!$D$10,$H40&lt;'설정'!$C$10),"",IF($L40="완료","완료",IF($M40="지연","지연",IF($M40="주의","주의",IF($J40&gt;0,"진행","계획")))))</f>
        <v>완료</v>
      </c>
      <c r="V40" s="10" t="str">
        <f>IF(OR($G40&gt;'설정'!$D$11,$H40&lt;'설정'!$C$11),"",IF($L40="완료","완료",IF($M40="지연","지연",IF($M40="주의","주의",IF($J40&gt;0,"진행","계획")))))</f>
        <v/>
      </c>
      <c r="W40" s="10" t="str">
        <f>IF(OR($G40&gt;'설정'!$D$12,$H40&lt;'설정'!$C$12),"",IF($L40="완료","완료",IF($M40="지연","지연",IF($M40="주의","주의",IF($J40&gt;0,"진행","계획")))))</f>
        <v/>
      </c>
    </row>
    <row r="41" ht="15.75" customHeight="1">
      <c r="A41" s="14" t="s">
        <v>213</v>
      </c>
      <c r="B41" s="12"/>
      <c r="C41" s="14" t="s">
        <v>214</v>
      </c>
      <c r="D41" s="12"/>
      <c r="E41" s="15" t="s">
        <v>215</v>
      </c>
      <c r="F41" s="15" t="s">
        <v>216</v>
      </c>
      <c r="G41" s="6">
        <v>46221.0</v>
      </c>
      <c r="H41" s="6">
        <v>46223.0</v>
      </c>
      <c r="I41" s="7">
        <v>1.0</v>
      </c>
      <c r="J41" s="7">
        <v>1.0</v>
      </c>
      <c r="K41" s="8">
        <f t="shared" si="8"/>
        <v>1</v>
      </c>
      <c r="L41" s="3" t="str">
        <f t="shared" si="9"/>
        <v>완료</v>
      </c>
      <c r="M41" s="3" t="str">
        <f t="shared" si="10"/>
        <v>정상</v>
      </c>
      <c r="N41" s="17" t="s">
        <v>208</v>
      </c>
      <c r="O41" s="10" t="str">
        <f>IF(OR($G41&gt;'설정'!$D$4,$H41&lt;'설정'!$C$4),"",IF($L41="완료","완료",IF($M41="지연","지연",IF($M41="주의","주의",IF($J41&gt;0,"진행","계획")))))</f>
        <v/>
      </c>
      <c r="P41" s="10" t="str">
        <f>IF(OR($G41&gt;'설정'!$D$5,$H41&lt;'설정'!$C$5),"",IF($L41="완료","완료",IF($M41="지연","지연",IF($M41="주의","주의",IF($J41&gt;0,"진행","계획")))))</f>
        <v/>
      </c>
      <c r="Q41" s="10" t="str">
        <f>IF(OR($G41&gt;'설정'!$D$6,$H41&lt;'설정'!$C$6),"",IF($L41="완료","완료",IF($M41="지연","지연",IF($M41="주의","주의",IF($J41&gt;0,"진행","계획")))))</f>
        <v/>
      </c>
      <c r="R41" s="10" t="str">
        <f>IF(OR($G41&gt;'설정'!$D$7,$H41&lt;'설정'!$C$7),"",IF($L41="완료","완료",IF($M41="지연","지연",IF($M41="주의","주의",IF($J41&gt;0,"진행","계획")))))</f>
        <v/>
      </c>
      <c r="S41" s="10" t="str">
        <f>IF(OR($G41&gt;'설정'!$D$8,$H41&lt;'설정'!$C$8),"",IF($L41="완료","완료",IF($M41="지연","지연",IF($M41="주의","주의",IF($J41&gt;0,"진행","계획")))))</f>
        <v/>
      </c>
      <c r="T41" s="10" t="str">
        <f>IF(OR($G41&gt;'설정'!$D$9,$H41&lt;'설정'!$C$9),"",IF($L41="완료","완료",IF($M41="지연","지연",IF($M41="주의","주의",IF($J41&gt;0,"진행","계획")))))</f>
        <v/>
      </c>
      <c r="U41" s="10" t="str">
        <f>IF(OR($G41&gt;'설정'!$D$10,$H41&lt;'설정'!$C$10),"",IF($L41="완료","완료",IF($M41="지연","지연",IF($M41="주의","주의",IF($J41&gt;0,"진행","계획")))))</f>
        <v>완료</v>
      </c>
      <c r="V41" s="10" t="str">
        <f>IF(OR($G41&gt;'설정'!$D$11,$H41&lt;'설정'!$C$11),"",IF($L41="완료","완료",IF($M41="지연","지연",IF($M41="주의","주의",IF($J41&gt;0,"진행","계획")))))</f>
        <v>완료</v>
      </c>
      <c r="W41" s="10" t="str">
        <f>IF(OR($G41&gt;'설정'!$D$12,$H41&lt;'설정'!$C$12),"",IF($L41="완료","완료",IF($M41="지연","지연",IF($M41="주의","주의",IF($J41&gt;0,"진행","계획")))))</f>
        <v/>
      </c>
    </row>
    <row r="42" ht="15.75" customHeight="1">
      <c r="A42" s="14" t="s">
        <v>217</v>
      </c>
      <c r="B42" s="14" t="s">
        <v>149</v>
      </c>
      <c r="C42" s="14" t="s">
        <v>218</v>
      </c>
      <c r="D42" s="14" t="s">
        <v>149</v>
      </c>
      <c r="E42" s="15" t="s">
        <v>219</v>
      </c>
      <c r="F42" s="15" t="s">
        <v>220</v>
      </c>
      <c r="G42" s="6">
        <v>46226.0</v>
      </c>
      <c r="H42" s="6">
        <v>46229.0</v>
      </c>
      <c r="I42" s="7">
        <v>1.0</v>
      </c>
      <c r="J42" s="7">
        <v>1.0</v>
      </c>
      <c r="K42" s="8">
        <f t="shared" si="8"/>
        <v>1</v>
      </c>
      <c r="L42" s="3" t="str">
        <f t="shared" si="9"/>
        <v>완료</v>
      </c>
      <c r="M42" s="3" t="str">
        <f t="shared" si="10"/>
        <v>정상</v>
      </c>
      <c r="N42" s="17" t="s">
        <v>221</v>
      </c>
      <c r="O42" s="10" t="str">
        <f>IF(OR($G42&gt;'설정'!$D$4,$H42&lt;'설정'!$C$4),"",IF($L42="완료","완료",IF($M42="지연","지연",IF($M42="주의","주의",IF($J42&gt;0,"진행","계획")))))</f>
        <v/>
      </c>
      <c r="P42" s="10" t="str">
        <f>IF(OR($G42&gt;'설정'!$D$5,$H42&lt;'설정'!$C$5),"",IF($L42="완료","완료",IF($M42="지연","지연",IF($M42="주의","주의",IF($J42&gt;0,"진행","계획")))))</f>
        <v/>
      </c>
      <c r="Q42" s="10" t="str">
        <f>IF(OR($G42&gt;'설정'!$D$6,$H42&lt;'설정'!$C$6),"",IF($L42="완료","완료",IF($M42="지연","지연",IF($M42="주의","주의",IF($J42&gt;0,"진행","계획")))))</f>
        <v/>
      </c>
      <c r="R42" s="10" t="str">
        <f>IF(OR($G42&gt;'설정'!$D$7,$H42&lt;'설정'!$C$7),"",IF($L42="완료","완료",IF($M42="지연","지연",IF($M42="주의","주의",IF($J42&gt;0,"진행","계획")))))</f>
        <v/>
      </c>
      <c r="S42" s="10" t="str">
        <f>IF(OR($G42&gt;'설정'!$D$8,$H42&lt;'설정'!$C$8),"",IF($L42="완료","완료",IF($M42="지연","지연",IF($M42="주의","주의",IF($J42&gt;0,"진행","계획")))))</f>
        <v/>
      </c>
      <c r="T42" s="10" t="str">
        <f>IF(OR($G42&gt;'설정'!$D$9,$H42&lt;'설정'!$C$9),"",IF($L42="완료","완료",IF($M42="지연","지연",IF($M42="주의","주의",IF($J42&gt;0,"진행","계획")))))</f>
        <v/>
      </c>
      <c r="U42" s="10" t="str">
        <f>IF(OR($G42&gt;'설정'!$D$10,$H42&lt;'설정'!$C$10),"",IF($L42="완료","완료",IF($M42="지연","지연",IF($M42="주의","주의",IF($J42&gt;0,"진행","계획")))))</f>
        <v/>
      </c>
      <c r="V42" s="10" t="str">
        <f>IF(OR($G42&gt;'설정'!$D$11,$H42&lt;'설정'!$C$11),"",IF($L42="완료","완료",IF($M42="지연","지연",IF($M42="주의","주의",IF($J42&gt;0,"진행","계획")))))</f>
        <v>완료</v>
      </c>
      <c r="W42" s="10" t="str">
        <f>IF(OR($G42&gt;'설정'!$D$12,$H42&lt;'설정'!$C$12),"",IF($L42="완료","완료",IF($M42="지연","지연",IF($M42="주의","주의",IF($J42&gt;0,"진행","계획")))))</f>
        <v/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9">
    <mergeCell ref="B11:B13"/>
    <mergeCell ref="B14:B17"/>
    <mergeCell ref="B18:B20"/>
    <mergeCell ref="B21:B23"/>
    <mergeCell ref="B24:B26"/>
    <mergeCell ref="B28:B39"/>
    <mergeCell ref="B40:B41"/>
    <mergeCell ref="D14:D17"/>
    <mergeCell ref="D18:D20"/>
    <mergeCell ref="D21:D23"/>
    <mergeCell ref="D24:D26"/>
    <mergeCell ref="D40:D41"/>
    <mergeCell ref="B2:B4"/>
    <mergeCell ref="D2:D4"/>
    <mergeCell ref="B5:B7"/>
    <mergeCell ref="D5:D7"/>
    <mergeCell ref="B8:B10"/>
    <mergeCell ref="D8:D10"/>
    <mergeCell ref="D11:D13"/>
  </mergeCells>
  <conditionalFormatting sqref="M2:M42">
    <cfRule type="cellIs" dxfId="0" priority="1" stopIfTrue="1" operator="equal">
      <formula>"정상"</formula>
    </cfRule>
  </conditionalFormatting>
  <conditionalFormatting sqref="M2:M42">
    <cfRule type="cellIs" dxfId="1" priority="2" stopIfTrue="1" operator="equal">
      <formula>"주의"</formula>
    </cfRule>
  </conditionalFormatting>
  <conditionalFormatting sqref="M2:M42">
    <cfRule type="cellIs" dxfId="2" priority="3" stopIfTrue="1" operator="equal">
      <formula>"지연"</formula>
    </cfRule>
  </conditionalFormatting>
  <conditionalFormatting sqref="O2:W42">
    <cfRule type="cellIs" dxfId="0" priority="4" stopIfTrue="1" operator="equal">
      <formula>"완료"</formula>
    </cfRule>
  </conditionalFormatting>
  <conditionalFormatting sqref="O2:W42">
    <cfRule type="cellIs" dxfId="3" priority="5" stopIfTrue="1" operator="equal">
      <formula>"진행"</formula>
    </cfRule>
  </conditionalFormatting>
  <conditionalFormatting sqref="O2:W42">
    <cfRule type="cellIs" dxfId="4" priority="6" stopIfTrue="1" operator="equal">
      <formula>"계획"</formula>
    </cfRule>
  </conditionalFormatting>
  <conditionalFormatting sqref="O2:W42">
    <cfRule type="cellIs" dxfId="1" priority="7" stopIfTrue="1" operator="equal">
      <formula>"주의"</formula>
    </cfRule>
  </conditionalFormatting>
  <conditionalFormatting sqref="O2:W42">
    <cfRule type="cellIs" dxfId="2" priority="8" stopIfTrue="1" operator="equal">
      <formula>"지연"</formula>
    </cfRule>
  </conditionalFormatting>
  <dataValidations>
    <dataValidation type="decimal" allowBlank="1" sqref="I2:J42">
      <formula1>0.0</formula1>
      <formula2>1.0</formula2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" width="18.0"/>
    <col customWidth="1" min="5" max="26" width="8.63"/>
  </cols>
  <sheetData>
    <row r="1">
      <c r="A1" s="22" t="s">
        <v>222</v>
      </c>
    </row>
    <row r="3">
      <c r="A3" s="23" t="s">
        <v>223</v>
      </c>
      <c r="B3" s="23" t="s">
        <v>224</v>
      </c>
      <c r="C3" s="23" t="s">
        <v>6</v>
      </c>
      <c r="D3" s="23" t="s">
        <v>7</v>
      </c>
    </row>
    <row r="4">
      <c r="A4" s="24" t="s">
        <v>225</v>
      </c>
      <c r="B4" s="24" t="s">
        <v>14</v>
      </c>
      <c r="C4" s="25">
        <v>46181.0</v>
      </c>
      <c r="D4" s="25">
        <v>46187.0</v>
      </c>
    </row>
    <row r="5">
      <c r="A5" s="24" t="s">
        <v>225</v>
      </c>
      <c r="B5" s="24" t="s">
        <v>15</v>
      </c>
      <c r="C5" s="25">
        <v>46188.0</v>
      </c>
      <c r="D5" s="25">
        <v>46194.0</v>
      </c>
    </row>
    <row r="6">
      <c r="A6" s="24" t="s">
        <v>225</v>
      </c>
      <c r="B6" s="24" t="s">
        <v>16</v>
      </c>
      <c r="C6" s="25">
        <v>46195.0</v>
      </c>
      <c r="D6" s="25">
        <v>46201.0</v>
      </c>
    </row>
    <row r="7">
      <c r="A7" s="24" t="s">
        <v>225</v>
      </c>
      <c r="B7" s="24" t="s">
        <v>17</v>
      </c>
      <c r="C7" s="25">
        <v>46202.0</v>
      </c>
      <c r="D7" s="25">
        <v>46203.0</v>
      </c>
    </row>
    <row r="8">
      <c r="A8" s="24" t="s">
        <v>226</v>
      </c>
      <c r="B8" s="24" t="s">
        <v>18</v>
      </c>
      <c r="C8" s="25">
        <v>46204.0</v>
      </c>
      <c r="D8" s="25">
        <v>46208.0</v>
      </c>
    </row>
    <row r="9">
      <c r="A9" s="24" t="s">
        <v>226</v>
      </c>
      <c r="B9" s="24" t="s">
        <v>19</v>
      </c>
      <c r="C9" s="25">
        <v>46209.0</v>
      </c>
      <c r="D9" s="25">
        <v>46215.0</v>
      </c>
    </row>
    <row r="10">
      <c r="A10" s="24" t="s">
        <v>226</v>
      </c>
      <c r="B10" s="24" t="s">
        <v>20</v>
      </c>
      <c r="C10" s="25">
        <v>46216.0</v>
      </c>
      <c r="D10" s="25">
        <v>46222.0</v>
      </c>
    </row>
    <row r="11">
      <c r="A11" s="24" t="s">
        <v>226</v>
      </c>
      <c r="B11" s="24" t="s">
        <v>21</v>
      </c>
      <c r="C11" s="25">
        <v>46223.0</v>
      </c>
      <c r="D11" s="25">
        <v>46229.0</v>
      </c>
    </row>
    <row r="12">
      <c r="A12" s="24" t="s">
        <v>226</v>
      </c>
      <c r="B12" s="24" t="s">
        <v>22</v>
      </c>
      <c r="C12" s="25">
        <v>46230.0</v>
      </c>
      <c r="D12" s="26">
        <v>46231.0</v>
      </c>
    </row>
    <row r="15">
      <c r="A15" s="23" t="s">
        <v>227</v>
      </c>
      <c r="B15" s="23" t="s">
        <v>228</v>
      </c>
      <c r="C15" s="23" t="s">
        <v>229</v>
      </c>
      <c r="D15" s="23" t="s">
        <v>13</v>
      </c>
    </row>
    <row r="16">
      <c r="A16" s="24" t="s">
        <v>230</v>
      </c>
      <c r="B16" s="24" t="s">
        <v>8</v>
      </c>
      <c r="C16" s="24" t="s">
        <v>231</v>
      </c>
      <c r="D16" s="24" t="s">
        <v>232</v>
      </c>
    </row>
    <row r="17">
      <c r="A17" s="24" t="s">
        <v>230</v>
      </c>
      <c r="B17" s="24" t="s">
        <v>9</v>
      </c>
      <c r="C17" s="24" t="s">
        <v>233</v>
      </c>
      <c r="D17" s="24" t="s">
        <v>232</v>
      </c>
    </row>
    <row r="18">
      <c r="A18" s="24" t="s">
        <v>234</v>
      </c>
      <c r="B18" s="24" t="s">
        <v>11</v>
      </c>
      <c r="C18" s="24" t="s">
        <v>235</v>
      </c>
      <c r="D18" s="24" t="s">
        <v>236</v>
      </c>
    </row>
    <row r="19">
      <c r="A19" s="24" t="s">
        <v>234</v>
      </c>
      <c r="B19" s="24" t="s">
        <v>12</v>
      </c>
      <c r="C19" s="24" t="s">
        <v>237</v>
      </c>
      <c r="D19" s="24" t="s">
        <v>236</v>
      </c>
    </row>
    <row r="20">
      <c r="A20" s="24" t="s">
        <v>234</v>
      </c>
      <c r="B20" s="24" t="s">
        <v>238</v>
      </c>
      <c r="C20" s="24" t="s">
        <v>239</v>
      </c>
      <c r="D20" s="24" t="s">
        <v>240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